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表紙・方針" sheetId="1" state="visible" r:id="rId1"/>
    <sheet xmlns:r="http://schemas.openxmlformats.org/officeDocument/2006/relationships" name="1_ネット接続表" sheetId="2" state="visible" r:id="rId2"/>
    <sheet xmlns:r="http://schemas.openxmlformats.org/officeDocument/2006/relationships" name="2_追加BOM" sheetId="3" state="visible" r:id="rId3"/>
    <sheet xmlns:r="http://schemas.openxmlformats.org/officeDocument/2006/relationships" name="3_削除・変更部品" sheetId="4" state="visible" r:id="rId4"/>
    <sheet xmlns:r="http://schemas.openxmlformats.org/officeDocument/2006/relationships" name="4_MCUピン割り当て" sheetId="5" state="visible" r:id="rId5"/>
    <sheet xmlns:r="http://schemas.openxmlformats.org/officeDocument/2006/relationships" name="5_定数と根拠" sheetId="6" state="visible" r:id="rId6"/>
    <sheet xmlns:r="http://schemas.openxmlformats.org/officeDocument/2006/relationships" name="6_ファームウェア仕様" sheetId="7" state="visible" r:id="rId7"/>
    <sheet xmlns:r="http://schemas.openxmlformats.org/officeDocument/2006/relationships" name="7_レイアウト指示" sheetId="8" state="visible" r:id="rId8"/>
    <sheet xmlns:r="http://schemas.openxmlformats.org/officeDocument/2006/relationships" name="8_故障モード" sheetId="9" state="visible" r:id="rId9"/>
    <sheet xmlns:r="http://schemas.openxmlformats.org/officeDocument/2006/relationships" name="9_未確定事項" sheetId="10" state="visible" r:id="rId10"/>
  </sheets>
  <definedNames>
    <definedName name="_xlnm._FilterDatabase" localSheetId="1" hidden="1">'1_ネット接続表'!$A$4:$E$37</definedName>
    <definedName name="_xlnm._FilterDatabase" localSheetId="2" hidden="1">'2_追加BOM'!$A$4:$F$52</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FF1F4E79"/>
      <sz val="14"/>
    </font>
    <font>
      <color rgb="FF666666"/>
      <sz val="9"/>
    </font>
    <font>
      <b val="1"/>
      <color rgb="FF1F4E79"/>
      <sz val="11"/>
    </font>
    <font>
      <b val="1"/>
      <color rgb="FFFFFFFF"/>
      <sz val="10"/>
    </font>
    <font>
      <b val="1"/>
      <sz val="9"/>
    </font>
    <font>
      <sz val="9"/>
    </font>
    <font>
      <color rgb="FFC00000"/>
      <sz val="9"/>
    </font>
    <font>
      <sz val="10"/>
    </font>
    <font>
      <b val="1"/>
      <sz val="10"/>
    </font>
    <font>
      <b val="1"/>
      <sz val="11"/>
    </font>
    <font>
      <b val="1"/>
      <color rgb="FFFFFFFF"/>
      <sz val="11"/>
    </font>
    <font>
      <b val="1"/>
      <sz val="12"/>
    </font>
  </fonts>
  <fills count="7">
    <fill>
      <patternFill/>
    </fill>
    <fill>
      <patternFill patternType="gray125"/>
    </fill>
    <fill>
      <patternFill patternType="solid">
        <fgColor rgb="FF1F4E79"/>
      </patternFill>
    </fill>
    <fill>
      <patternFill patternType="solid">
        <fgColor rgb="FFEAEAEA"/>
      </patternFill>
    </fill>
    <fill>
      <patternFill patternType="solid">
        <fgColor rgb="FFFCE4D6"/>
      </patternFill>
    </fill>
    <fill>
      <patternFill patternType="solid">
        <fgColor rgb="FFFFF2CC"/>
      </patternFill>
    </fill>
    <fill>
      <patternFill patternType="solid">
        <fgColor rgb="FFE2EFDA"/>
      </patternFill>
    </fill>
  </fills>
  <borders count="8">
    <border>
      <left/>
      <right/>
      <top/>
      <bottom/>
      <diagonal/>
    </border>
    <border>
      <left style="thin">
        <color rgb="FFBFBFBF"/>
      </left>
      <right style="thin">
        <color rgb="FFBFBFBF"/>
      </right>
      <top style="thin">
        <color rgb="FFBFBFBF"/>
      </top>
      <bottom style="thin">
        <color rgb="FFBFBFBF"/>
      </bottom>
    </border>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right style="thin"/>
      <top style="thin"/>
      <bottom style="thin"/>
    </border>
  </borders>
  <cellStyleXfs count="1">
    <xf numFmtId="0" fontId="0" fillId="0" borderId="0"/>
  </cellStyleXfs>
  <cellXfs count="5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left" vertical="center"/>
    </xf>
    <xf numFmtId="0" fontId="6" fillId="0" borderId="1" applyAlignment="1" pivotButton="0" quotePrefix="0" xfId="0">
      <alignment horizontal="center" vertical="center"/>
    </xf>
    <xf numFmtId="0" fontId="6" fillId="3" borderId="1" applyAlignment="1" pivotButton="0" quotePrefix="0" xfId="0">
      <alignment horizontal="left" vertical="center" wrapText="1"/>
    </xf>
    <xf numFmtId="0" fontId="6" fillId="0" borderId="1" applyAlignment="1" pivotButton="0" quotePrefix="0" xfId="0">
      <alignment horizontal="left" vertical="center" wrapText="1"/>
    </xf>
    <xf numFmtId="0" fontId="6" fillId="4" borderId="1" applyAlignment="1" pivotButton="0" quotePrefix="0" xfId="0">
      <alignment horizontal="left" vertical="center" wrapText="1"/>
    </xf>
    <xf numFmtId="0" fontId="6" fillId="5" borderId="1" applyAlignment="1" pivotButton="0" quotePrefix="0" xfId="0">
      <alignment horizontal="center" vertical="center"/>
    </xf>
    <xf numFmtId="0" fontId="7" fillId="0" borderId="0" applyAlignment="1" pivotButton="0" quotePrefix="0" xfId="0">
      <alignment vertical="top" wrapText="1"/>
    </xf>
    <xf numFmtId="0" fontId="6" fillId="0" borderId="1" applyAlignment="1" pivotButton="0" quotePrefix="0" xfId="0">
      <alignment horizontal="left" vertical="center"/>
    </xf>
    <xf numFmtId="0" fontId="6" fillId="3" borderId="1" applyAlignment="1" pivotButton="0" quotePrefix="0" xfId="0">
      <alignment horizontal="center" vertical="center"/>
    </xf>
    <xf numFmtId="0" fontId="5" fillId="0" borderId="1" applyAlignment="1" pivotButton="0" quotePrefix="0" xfId="0">
      <alignment horizontal="left" vertical="center"/>
    </xf>
    <xf numFmtId="0" fontId="6" fillId="3" borderId="1" applyAlignment="1" pivotButton="0" quotePrefix="0" xfId="0">
      <alignment horizontal="center" vertical="center"/>
    </xf>
    <xf numFmtId="0" fontId="6" fillId="0" borderId="1" applyAlignment="1" pivotButton="0" quotePrefix="0" xfId="0">
      <alignment horizontal="center" vertical="center"/>
    </xf>
    <xf numFmtId="0" fontId="5" fillId="0" borderId="1" applyAlignment="1" pivotButton="0" quotePrefix="0" xfId="0">
      <alignment horizontal="left" vertical="center" wrapText="1"/>
    </xf>
    <xf numFmtId="0" fontId="6" fillId="0" borderId="1" applyAlignment="1" pivotButton="0" quotePrefix="0" xfId="0">
      <alignment horizontal="left" vertical="center"/>
    </xf>
    <xf numFmtId="0" fontId="5" fillId="0" borderId="1" applyAlignment="1" pivotButton="0" quotePrefix="0" xfId="0">
      <alignment horizontal="left" vertical="center"/>
    </xf>
    <xf numFmtId="0" fontId="6" fillId="0" borderId="1" applyAlignment="1" pivotButton="0" quotePrefix="0" xfId="0">
      <alignment horizontal="center" vertical="center"/>
    </xf>
    <xf numFmtId="0" fontId="6" fillId="0" borderId="1" applyAlignment="1" pivotButton="0" quotePrefix="0" xfId="0">
      <alignment vertical="center" wrapText="1"/>
    </xf>
    <xf numFmtId="0" fontId="6" fillId="3" borderId="1" applyAlignment="1" pivotButton="0" quotePrefix="0" xfId="0">
      <alignment horizontal="center" vertical="center"/>
    </xf>
    <xf numFmtId="0" fontId="6" fillId="0" borderId="1" applyAlignment="1" pivotButton="0" quotePrefix="0" xfId="0">
      <alignment horizontal="left" vertical="center"/>
    </xf>
    <xf numFmtId="0" fontId="5" fillId="0" borderId="1" applyAlignment="1" pivotButton="0" quotePrefix="0" xfId="0">
      <alignment horizontal="left" vertical="center"/>
    </xf>
    <xf numFmtId="0" fontId="6" fillId="0" borderId="1" applyAlignment="1" pivotButton="0" quotePrefix="0" xfId="0">
      <alignment horizontal="center" vertical="center"/>
    </xf>
    <xf numFmtId="0" fontId="5" fillId="0" borderId="2" applyAlignment="1" pivotButton="0" quotePrefix="0" xfId="0">
      <alignment horizontal="left" vertical="center"/>
    </xf>
    <xf numFmtId="0" fontId="6" fillId="0" borderId="2" applyAlignment="1" pivotButton="0" quotePrefix="0" xfId="0">
      <alignment horizontal="center" vertical="center"/>
    </xf>
    <xf numFmtId="0" fontId="6" fillId="0" borderId="2" applyAlignment="1" pivotButton="0" quotePrefix="0" xfId="0">
      <alignment horizontal="left" vertical="center" wrapText="1"/>
    </xf>
    <xf numFmtId="0" fontId="5" fillId="0" borderId="1" applyAlignment="1" pivotButton="0" quotePrefix="0" xfId="0">
      <alignment horizontal="left" vertical="center"/>
    </xf>
    <xf numFmtId="0" fontId="6" fillId="0" borderId="1" applyAlignment="1" pivotButton="0" quotePrefix="0" xfId="0">
      <alignment horizontal="center" vertical="center"/>
    </xf>
    <xf numFmtId="0" fontId="6" fillId="5" borderId="1" applyAlignment="1" pivotButton="0" quotePrefix="0" xfId="0">
      <alignment horizontal="center" vertical="center"/>
    </xf>
    <xf numFmtId="0" fontId="6" fillId="3" borderId="1" applyAlignment="1" pivotButton="0" quotePrefix="0" xfId="0">
      <alignment horizontal="center" vertical="center"/>
    </xf>
    <xf numFmtId="0" fontId="0" fillId="0" borderId="5" pivotButton="0" quotePrefix="0" xfId="0"/>
    <xf numFmtId="0" fontId="0" fillId="0" borderId="6" pivotButton="0" quotePrefix="0" xfId="0"/>
    <xf numFmtId="0" fontId="6" fillId="0" borderId="1" applyAlignment="1" pivotButton="0" quotePrefix="0" xfId="0">
      <alignment horizontal="left" vertical="center"/>
    </xf>
    <xf numFmtId="0" fontId="6" fillId="3" borderId="1" applyAlignment="1" pivotButton="0" quotePrefix="0" xfId="0">
      <alignment horizontal="center" vertical="center"/>
    </xf>
    <xf numFmtId="0" fontId="5" fillId="0" borderId="1" applyAlignment="1" pivotButton="0" quotePrefix="0" xfId="0">
      <alignment horizontal="left" vertical="center"/>
    </xf>
    <xf numFmtId="0" fontId="6" fillId="4" borderId="1" applyAlignment="1" pivotButton="0" quotePrefix="0" xfId="0">
      <alignment horizontal="center" vertical="center"/>
    </xf>
    <xf numFmtId="0" fontId="8" fillId="0" borderId="1" applyAlignment="1" pivotButton="0" quotePrefix="0" xfId="0">
      <alignment vertical="top" wrapText="1"/>
    </xf>
    <xf numFmtId="0" fontId="9" fillId="0" borderId="0" applyAlignment="1" pivotButton="0" quotePrefix="0" xfId="0">
      <alignment vertical="top" wrapText="1"/>
    </xf>
    <xf numFmtId="0" fontId="5" fillId="0" borderId="0" applyAlignment="1" pivotButton="0" quotePrefix="0" xfId="0">
      <alignment vertical="top" wrapText="1"/>
    </xf>
    <xf numFmtId="0" fontId="6" fillId="0" borderId="1" applyAlignment="1" pivotButton="0" quotePrefix="0" xfId="0">
      <alignment vertical="top" wrapText="1"/>
    </xf>
    <xf numFmtId="0" fontId="4" fillId="2" borderId="7" applyAlignment="1" pivotButton="0" quotePrefix="0" xfId="0">
      <alignment vertical="center" wrapText="1"/>
    </xf>
    <xf numFmtId="0" fontId="5" fillId="0" borderId="7" applyAlignment="1" pivotButton="0" quotePrefix="0" xfId="0">
      <alignment vertical="center" wrapText="1"/>
    </xf>
    <xf numFmtId="0" fontId="6" fillId="3" borderId="7" applyAlignment="1" pivotButton="0" quotePrefix="0" xfId="0">
      <alignment vertical="center" wrapText="1"/>
    </xf>
    <xf numFmtId="0" fontId="6" fillId="0" borderId="7" applyAlignment="1" pivotButton="0" quotePrefix="0" xfId="0">
      <alignment vertical="center" wrapText="1"/>
    </xf>
    <xf numFmtId="0" fontId="5" fillId="0" borderId="1" applyAlignment="1" pivotButton="0" quotePrefix="0" xfId="0">
      <alignment vertical="center" wrapText="1"/>
    </xf>
    <xf numFmtId="0" fontId="6" fillId="3" borderId="1" applyAlignment="1" pivotButton="0" quotePrefix="0" xfId="0">
      <alignment vertical="center" wrapText="1"/>
    </xf>
    <xf numFmtId="0" fontId="10" fillId="0" borderId="0" pivotButton="0" quotePrefix="0" xfId="0"/>
    <xf numFmtId="0" fontId="11" fillId="2" borderId="1" applyAlignment="1" pivotButton="0" quotePrefix="0" xfId="0">
      <alignment horizontal="center" vertical="center" wrapText="1"/>
    </xf>
    <xf numFmtId="0" fontId="8" fillId="0" borderId="1" applyAlignment="1" pivotButton="0" quotePrefix="0" xfId="0">
      <alignment vertical="center" wrapText="1"/>
    </xf>
    <xf numFmtId="0" fontId="2" fillId="0" borderId="0" applyAlignment="1" pivotButton="0" quotePrefix="0" xfId="0">
      <alignment vertical="center" wrapText="1"/>
    </xf>
    <xf numFmtId="0" fontId="12" fillId="0" borderId="0" pivotButton="0" quotePrefix="0" xfId="0"/>
    <xf numFmtId="0" fontId="8" fillId="3" borderId="1" applyAlignment="1" pivotButton="0" quotePrefix="0" xfId="0">
      <alignment vertical="center" wrapText="1"/>
    </xf>
    <xf numFmtId="0" fontId="8" fillId="6" borderId="1" applyAlignment="1" pivotButton="0" quotePrefix="0" xfId="0">
      <alignment vertical="center" wrapText="1"/>
    </xf>
    <xf numFmtId="0" fontId="1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47"/>
  <sheetViews>
    <sheetView workbookViewId="0">
      <selection activeCell="A1" sqref="A1"/>
    </sheetView>
  </sheetViews>
  <sheetFormatPr baseColWidth="8" defaultRowHeight="15"/>
  <cols>
    <col width="26" customWidth="1" min="1" max="1"/>
    <col width="30" customWidth="1" min="2" max="2"/>
    <col width="30" customWidth="1" min="3" max="3"/>
    <col width="30" customWidth="1" min="4" max="4"/>
    <col width="24" customWidth="1" min="5" max="5"/>
    <col width="20" customWidth="1" min="6" max="6"/>
  </cols>
  <sheetData>
    <row r="1">
      <c r="A1" s="1" t="inlineStr">
        <is>
          <t>MizuniGoal Power Controller v3.0.0 設計仕様書</t>
        </is>
      </c>
    </row>
    <row r="2" ht="46.5" customHeight="1">
      <c r="A2" s="2" t="inlineStr">
        <is>
          <t>v2.1.1 からの差分を KiCad に入力するための接続表・BOM・定数表。基板図・BOM の確定と実測検証を反映して版数を v2.3 から v3.0.0 に改めた（2026-10-14）。v2.1.1 からの差分が大きいため、試験記録シートも v3.0.0 として全面改訂している。①（v2.1.1 実機試験）の結果待ち項目は「9_未確定事項」参照。</t>
        </is>
      </c>
    </row>
    <row r="3"/>
    <row r="4">
      <c r="A4" s="3" t="inlineStr">
        <is>
          <t>設計方針</t>
        </is>
      </c>
    </row>
    <row r="5" ht="16" customHeight="1">
      <c r="A5" s="2" t="inlineStr">
        <is>
          <t>① サーマル保護はマイコン単独。LM5060 の EN しきい値ばらつき（0.8〜2.0V）に依存する方式をやめ、遮断点をファームウェアの定数で決める。</t>
        </is>
      </c>
    </row>
    <row r="6" ht="16" customHeight="1">
      <c r="A6" s="2" t="inlineStr">
        <is>
          <t xml:space="preserve">　 → 遮断点精度が 55〜100℃ のばらつきから ±2℃ 程度に改善し、量産時の EN しきい値選別試験が不要になる。</t>
        </is>
      </c>
    </row>
    <row r="7" ht="16" customHeight="1">
      <c r="A7" s="2" t="inlineStr">
        <is>
          <t>② EN はフェイルセーフ。マイコンが能動的に保持しないと切れる。未書込み・ハング・電源断のいずれでも出力は OFF。</t>
        </is>
      </c>
    </row>
    <row r="8" ht="16" customHeight="1">
      <c r="A8" s="2" t="inlineStr">
        <is>
          <t>③ 外部センサーは v2.3 では対象外。J5 拡張端子（3.3V / GND / I2C×2 / ADC×1 / GPIO×1）を設け、v2.4 以降で対応する。</t>
        </is>
      </c>
    </row>
    <row r="9" ht="16" customHeight="1">
      <c r="A9" s="2" t="inlineStr">
        <is>
          <t>④ ブレーキチョッパはアナログのまま変更しない。µs オーダーの応答が必要でハードウェア比較器が適切なため。</t>
        </is>
      </c>
    </row>
    <row r="10" ht="16" customHeight="1">
      <c r="A10" s="2" t="inlineStr">
        <is>
          <t xml:space="preserve">　 マイコンは Q4 ドレインを監視してチョッパ ON 時間を積算し、R11 の過熱をソフトで止める役割を持つ。</t>
        </is>
      </c>
    </row>
    <row r="11" ht="16" customHeight="1">
      <c r="A11" s="2" t="inlineStr">
        <is>
          <t>⑤ J4（非常停止スイッチ）はハードウェアで直接 EN を切る。ソフト経由にしない。</t>
        </is>
      </c>
    </row>
    <row r="12"/>
    <row r="13">
      <c r="A13" s="3" t="inlineStr">
        <is>
          <t>v2.1.1 からの変更サマリ</t>
        </is>
      </c>
    </row>
    <row r="14" ht="28" customHeight="1">
      <c r="A14" s="4" t="inlineStr">
        <is>
          <t>区分</t>
        </is>
      </c>
      <c r="B14" s="4" t="inlineStr">
        <is>
          <t>対象</t>
        </is>
      </c>
      <c r="C14" s="4" t="inlineStr">
        <is>
          <t>内容</t>
        </is>
      </c>
      <c r="D14" s="4" t="inlineStr">
        <is>
          <t>理由</t>
        </is>
      </c>
    </row>
    <row r="15" ht="30" customHeight="1">
      <c r="A15" s="37" t="inlineStr">
        <is>
          <t>追加</t>
        </is>
      </c>
      <c r="B15" s="30" t="inlineStr">
        <is>
          <t>IC4 + 周辺</t>
        </is>
      </c>
      <c r="C15" s="7" t="inlineStr">
        <is>
          <t>LMR16006XDDCR による VBUS → 3.3V 降圧（0.7MHz、ECO 28µA）</t>
        </is>
      </c>
      <c r="D15" s="8" t="inlineStr">
        <is>
          <t>マイコン電源。VBUS 側（Q3 の前）から取る</t>
        </is>
      </c>
    </row>
    <row r="16" ht="30" customHeight="1">
      <c r="A16" s="37" t="inlineStr">
        <is>
          <t>追加</t>
        </is>
      </c>
      <c r="B16" s="30" t="inlineStr">
        <is>
          <t>IC6 + 周辺</t>
        </is>
      </c>
      <c r="C16" s="7" t="inlineStr">
        <is>
          <t>STM32C011F4P6（TSSOP-20）</t>
        </is>
      </c>
      <c r="D16" s="8" t="inlineStr">
        <is>
          <t>保護制御。ADC で TH1 / TH2 / VBUS / Vout / チョッパを監視</t>
        </is>
      </c>
    </row>
    <row r="17" ht="30" customHeight="1">
      <c r="A17" s="37" t="inlineStr">
        <is>
          <t>追加</t>
        </is>
      </c>
      <c r="B17" s="30" t="inlineStr">
        <is>
          <t>Q6 周辺</t>
        </is>
      </c>
      <c r="C17" s="7" t="inlineStr">
        <is>
          <t>BSS138 による EN 引き下げ（フェイルセーフ）</t>
        </is>
      </c>
      <c r="D17" s="8" t="inlineStr">
        <is>
          <t>マイコン死亡時に約93msで自動遮断。ハーネスを GPIO から絶縁</t>
        </is>
      </c>
    </row>
    <row r="18" ht="30" customHeight="1">
      <c r="A18" s="37" t="inlineStr">
        <is>
          <t>追加</t>
        </is>
      </c>
      <c r="B18" s="30" t="inlineStr">
        <is>
          <t>TH2</t>
        </is>
      </c>
      <c r="C18" s="7" t="inlineStr">
        <is>
          <t>R11 近傍に 2 個目の NTC</t>
        </is>
      </c>
      <c r="D18" s="8" t="inlineStr">
        <is>
          <t>PPTC 撤去後 R11 の過熱保護が無いため</t>
        </is>
      </c>
    </row>
    <row r="19" ht="46.5" customHeight="1">
      <c r="A19" s="37" t="inlineStr">
        <is>
          <t>追加</t>
        </is>
      </c>
      <c r="B19" s="30" t="inlineStr">
        <is>
          <t>J5 / J6</t>
        </is>
      </c>
      <c r="C19" s="7" t="inlineStr">
        <is>
          <t>拡張端子（JST XA 6極）/ SWD ヘッダ（1×5 THT、v3.0.0 で PCBA 実装）</t>
        </is>
      </c>
      <c r="D19" s="8" t="inlineStr">
        <is>
          <t>v2.4 以降の外部センサー対応と書き込み</t>
        </is>
      </c>
    </row>
    <row r="20" ht="30" customHeight="1">
      <c r="A20" s="37" t="inlineStr">
        <is>
          <t>削除</t>
        </is>
      </c>
      <c r="B20" s="30" t="inlineStr">
        <is>
          <t>R5 / R6 / R9</t>
        </is>
      </c>
      <c r="C20" s="7" t="inlineStr">
        <is>
          <t>EN 分圧を構成していた抵抗</t>
        </is>
      </c>
      <c r="D20" s="8" t="inlineStr">
        <is>
          <t>EN 分圧方式を廃止</t>
        </is>
      </c>
    </row>
    <row r="21" ht="30" customHeight="1">
      <c r="A21" s="37" t="inlineStr">
        <is>
          <t>移設</t>
        </is>
      </c>
      <c r="B21" s="30" t="inlineStr">
        <is>
          <t>TH1</t>
        </is>
      </c>
      <c r="C21" s="7" t="inlineStr">
        <is>
          <t>EN 分圧から MCU の ADC へ。配置を Q1 近傍に寄せる</t>
        </is>
      </c>
      <c r="D21" s="8" t="inlineStr">
        <is>
          <t>遮断点をファームで決めるため</t>
        </is>
      </c>
    </row>
    <row r="22" ht="30" customHeight="1">
      <c r="A22" s="37" t="inlineStr">
        <is>
          <t>変更</t>
        </is>
      </c>
      <c r="B22" s="30" t="inlineStr">
        <is>
          <t>D8</t>
        </is>
      </c>
      <c r="C22" s="7" t="inlineStr">
        <is>
          <t>BZT52C3V9（3.9V ツェナー）→ 5V 級 ESD ダイオード</t>
        </is>
      </c>
      <c r="D22" s="8" t="inlineStr">
        <is>
          <t>EN 絶対最大は 75V。役割がクランプから ESD 保護に変わる</t>
        </is>
      </c>
    </row>
    <row r="23" ht="44" customHeight="1">
      <c r="A23" s="37" t="inlineStr">
        <is>
          <t>変更なし</t>
        </is>
      </c>
      <c r="B23" s="30" t="inlineStr">
        <is>
          <t>C16</t>
        </is>
      </c>
      <c r="C23" s="7" t="inlineStr">
        <is>
          <t>0.15µF のまま据え置き（TIMER 合計 0.48µF）</t>
        </is>
      </c>
      <c r="D23" s="8" t="inlineStr">
        <is>
          <t>当初 0.33µF への増量を提案したが撤回。増量すると短絡時の遮断が 106 → 145ms に悪化する。2026-10-08 に出力短絡で Q3 が破壊された事例を受けて、起動余裕より短絡応答を優先した</t>
        </is>
      </c>
    </row>
    <row r="24" ht="30" customHeight="1">
      <c r="A24" s="37" t="inlineStr">
        <is>
          <t>変更</t>
        </is>
      </c>
      <c r="B24" s="30" t="inlineStr">
        <is>
          <t>J4</t>
        </is>
      </c>
      <c r="C24" s="7" t="inlineStr">
        <is>
          <t>端子の機能のみ変更（pin3/4 が 3.3V 系ロジックに）</t>
        </is>
      </c>
      <c r="D24" s="8" t="inlineStr">
        <is>
          <t>ハーネスとスイッチはそのまま流用可</t>
        </is>
      </c>
    </row>
    <row r="25" ht="46.5" customHeight="1">
      <c r="A25" s="37" t="inlineStr">
        <is>
          <t>変更なし</t>
        </is>
      </c>
      <c r="B25" s="30" t="inlineStr">
        <is>
          <t>IC1 / IC2 / IC3 / Q4 / Q5 / R2・R3・R4 / チョッパ一式 / F3 / LED1</t>
        </is>
      </c>
      <c r="C25" s="7" t="inlineStr">
        <is>
          <t>—</t>
        </is>
      </c>
      <c r="D25" s="8" t="inlineStr">
        <is>
          <t>実測で正常を確認済み。★ Q1〜Q3 は回路構成は同じだが部品を変更（下表参照）</t>
        </is>
      </c>
    </row>
    <row r="26" ht="30" customHeight="1">
      <c r="A26" s="37" t="inlineStr">
        <is>
          <t>変更</t>
        </is>
      </c>
      <c r="B26" s="30" t="inlineStr">
        <is>
          <t>C34</t>
        </is>
      </c>
      <c r="C26" s="7" t="inlineStr">
        <is>
          <t>100nF → 1nF</t>
        </is>
      </c>
      <c r="D26" s="8" t="inlineStr">
        <is>
          <t>マイコンによる高速短絡検出（応答 2ms）のため。100nF では分圧の時定数が 9.1ms になり間に合わない</t>
        </is>
      </c>
    </row>
    <row r="27" ht="30" customHeight="1">
      <c r="A27" s="37" t="inlineStr">
        <is>
          <t>追加</t>
        </is>
      </c>
      <c r="B27" s="30" t="inlineStr">
        <is>
          <t>ファームウェア</t>
        </is>
      </c>
      <c r="C27" s="7" t="inlineStr">
        <is>
          <t>出力短絡の高速検出（#13）</t>
        </is>
      </c>
      <c r="D27" s="8" t="inlineStr">
        <is>
          <t>LM5060 の VDS 保護は 74〜106ms。マイコンで 2ms に短縮する</t>
        </is>
      </c>
    </row>
    <row r="28" ht="42" customHeight="1">
      <c r="A28" s="37" t="inlineStr">
        <is>
          <t>追加</t>
        </is>
      </c>
      <c r="B28" s="30" t="inlineStr">
        <is>
          <t>R51 / D12</t>
        </is>
      </c>
      <c r="C28" s="7" t="inlineStr">
        <is>
          <t>Q3 のゲート保護（100Ω 直列 ＋ 15V TVS）</t>
        </is>
      </c>
      <c r="D28" s="8" t="inlineStr">
        <is>
          <t>2026-10-08、出力短絡で Q3 のゲート酸化膜が破壊された。Vout 急落時に 44nF（C9+C15）がゲートを持ち上げ Vgs が定格 ±20V を超えるため</t>
        </is>
      </c>
    </row>
    <row r="29" ht="42" customHeight="1">
      <c r="A29" s="37" t="inlineStr">
        <is>
          <t>不採用</t>
        </is>
      </c>
      <c r="B29" s="30" t="inlineStr">
        <is>
          <t>高速電流検出</t>
        </is>
      </c>
      <c r="C29" s="7" t="inlineStr">
        <is>
          <t>シャント＋電流センスアンプ＋コンパレータによる µs 遮断</t>
        </is>
      </c>
      <c r="D29" s="8" t="inlineStr">
        <is>
          <t>Q1 / Q2 が同じ容量放電電流に耐えたため、電流経路に手を入れる根拠がない。部品 7 点を節約</t>
        </is>
      </c>
    </row>
    <row r="30">
      <c r="A30" s="56" t="inlineStr">
        <is>
          <t>v3.0.0 で確定・追記した事項</t>
        </is>
      </c>
    </row>
    <row r="31" ht="26" customHeight="1">
      <c r="A31" s="50" t="inlineStr">
        <is>
          <t>区分</t>
        </is>
      </c>
      <c r="B31" s="50" t="inlineStr">
        <is>
          <t>対象</t>
        </is>
      </c>
      <c r="C31" s="50" t="inlineStr">
        <is>
          <t>内容</t>
        </is>
      </c>
      <c r="D31" s="50" t="inlineStr">
        <is>
          <t>理由</t>
        </is>
      </c>
    </row>
    <row r="32" ht="46.5" customHeight="1">
      <c r="A32" s="51" t="inlineStr">
        <is>
          <t>確定</t>
        </is>
      </c>
      <c r="B32" s="51" t="inlineStr">
        <is>
          <t>C27</t>
        </is>
      </c>
      <c r="C32" s="51" t="inlineStr">
        <is>
          <t>1206 → 1210 に変更（PSA FS32X225K101EGG、2.2µF / 100V X7R、LCSC C153036）</t>
        </is>
      </c>
      <c r="D32" s="51" t="inlineStr">
        <is>
          <t>100V X7R の 2.2µF は 1210 でないと実用的な在庫がない。基板図を修正済み</t>
        </is>
      </c>
    </row>
    <row r="33" ht="32" customHeight="1">
      <c r="A33" s="51" t="inlineStr">
        <is>
          <t>確定</t>
        </is>
      </c>
      <c r="B33" s="51" t="inlineStr">
        <is>
          <t>C31 / C32</t>
        </is>
      </c>
      <c r="C33" s="51" t="inlineStr">
        <is>
          <t>100V 指定 → 50V 品（回路図のテキストを修正）</t>
        </is>
      </c>
      <c r="D33" s="51" t="inlineStr">
        <is>
          <t>+3V3 系のデカップリングで 100V は不要</t>
        </is>
      </c>
    </row>
    <row r="34" ht="46.5" customHeight="1">
      <c r="A34" s="51" t="inlineStr">
        <is>
          <t>確定</t>
        </is>
      </c>
      <c r="B34" s="51" t="inlineStr">
        <is>
          <t>C30</t>
        </is>
      </c>
      <c r="C34" s="51" t="inlineStr">
        <is>
          <t>22µF / 16V X5R 0603（Chinocera HGC0603R5226M160NTHJ、LCSC C22367828）</t>
        </is>
      </c>
      <c r="D34" s="51" t="inlineStr">
        <is>
          <t>当初選定品が在庫 15 個だったため差し替え</t>
        </is>
      </c>
    </row>
    <row r="35" ht="46.5" customHeight="1">
      <c r="A35" s="51" t="inlineStr">
        <is>
          <t>確定</t>
        </is>
      </c>
      <c r="B35" s="51" t="inlineStr">
        <is>
          <t>D8</t>
        </is>
      </c>
      <c r="C35" s="51" t="inlineStr">
        <is>
          <t>PESD5V0S1UL,315（SOD-882、単方向、VRWM 5V、クランプ 20V @15A、AEC-Q101、LCSC C85402）</t>
        </is>
      </c>
      <c r="D35" s="51" t="inlineStr">
        <is>
          <t>ESD 保護としての選定。IR &lt; 100nA で EN の分圧に影響しない</t>
        </is>
      </c>
    </row>
    <row r="36" ht="32" customHeight="1">
      <c r="A36" s="51" t="inlineStr">
        <is>
          <t>確定</t>
        </is>
      </c>
      <c r="B36" s="51" t="inlineStr">
        <is>
          <t>D10</t>
        </is>
      </c>
      <c r="C36" s="51" t="inlineStr">
        <is>
          <t>MDD SS210（SMA、100V / 2A、Vf 850mV @2A、LCSC C14996）</t>
        </is>
      </c>
      <c r="D36" s="51" t="inlineStr">
        <is>
          <t>IC4 のキャッチダイオード。非同期降圧のため必須</t>
        </is>
      </c>
    </row>
    <row r="37" ht="46.5" customHeight="1">
      <c r="A37" s="51" t="inlineStr">
        <is>
          <t>確定</t>
        </is>
      </c>
      <c r="B37" s="51" t="inlineStr">
        <is>
          <t>D11</t>
        </is>
      </c>
      <c r="C37" s="51" t="inlineStr">
        <is>
          <t>R+O BAT46W（SOD-123、100V / 150mA、Vf 450mV @10mA、IR 2µA @100V、LCSC C7420332）</t>
        </is>
      </c>
      <c r="D37" s="51" t="inlineStr">
        <is>
          <t>Vout 短絡時の +3V3 レールへの逆流阻止。低 IR が効く用途</t>
        </is>
      </c>
    </row>
    <row r="38" ht="17.5" customHeight="1">
      <c r="A38" s="51" t="inlineStr">
        <is>
          <t>確定</t>
        </is>
      </c>
      <c r="B38" s="51" t="inlineStr">
        <is>
          <t>L2</t>
        </is>
      </c>
      <c r="C38" s="51" t="inlineStr">
        <is>
          <t>33µH（LCSC C41413117）</t>
        </is>
      </c>
      <c r="D38" s="51" t="inlineStr">
        <is>
          <t>0.7MHz でのリップル 127mA</t>
        </is>
      </c>
    </row>
    <row r="39" ht="119" customHeight="1">
      <c r="A39" s="51" t="inlineStr">
        <is>
          <t>確定</t>
        </is>
      </c>
      <c r="B39" s="51" t="inlineStr">
        <is>
          <t>J6</t>
        </is>
      </c>
      <c r="C39" s="51" t="inlineStr">
        <is>
          <t>XFCN PZ254V-11-05P（1×5 単体、2.54mm ストレート、角ピン、金メッキ、LCSC C492404）</t>
        </is>
      </c>
      <c r="D39" s="51" t="inlineStr">
        <is>
          <t>当初は BOOMELE C2337（1×40 連結品）を手はんだする想定だったが、初回試験で書き込み頻度が高いため PCBA の実装対象に変更。連結品は PCBA で折って使えないため 1×5 単体品を選定。基板の穴径 1.0mm・パッド 1.7mm・ピッチ 2.54mm に対し 0.64mm 角ピンで標準の勘合</t>
        </is>
      </c>
    </row>
    <row r="40" ht="46.5" customHeight="1">
      <c r="A40" s="51" t="inlineStr">
        <is>
          <t>確定</t>
        </is>
      </c>
      <c r="B40" s="51" t="inlineStr">
        <is>
          <t>JP1</t>
        </is>
      </c>
      <c r="C40" s="51" t="inlineStr">
        <is>
          <t>基板パターンのみ（部品なし、BOM 除外）。pad1 = GND / pad2 = EN_GATE</t>
        </is>
      </c>
      <c r="D40" s="51" t="inlineStr">
        <is>
          <t>ブリングアップ時に EN_GATE を GND に固定して電源部を単体で動かすため。★ 書込み後は必ず開放に戻す</t>
        </is>
      </c>
    </row>
    <row r="41" ht="162.5" customHeight="1">
      <c r="A41" s="51" t="inlineStr">
        <is>
          <t>変更</t>
        </is>
      </c>
      <c r="B41" s="51" t="inlineStr">
        <is>
          <t>Q1 / Q2 / Q3</t>
        </is>
      </c>
      <c r="C41" s="51" t="inlineStr">
        <is>
          <t>CSD18540Q5B（TI、LCSC C86513）→ BSC028N06NS（Infineon、LCSC C148250、PG-TDSON-8 / SuperSO8）。60V / Rds_on 2.5 typ・2.8 max mΩ @10V / Ciss 2700pF typ / Qg 37nC typ / Vgs(th) 2.8V typ・3.3V max / Vgs ±20V / Tj 150℃ / RθJC 0.9K/W typ。ピン配置 S 1-3 / G 4 / D 5-8</t>
        </is>
      </c>
      <c r="D41" s="51" t="inlineStr">
        <is>
          <t>TI 品が LCSC で在庫 0（2026-10-14 確認）。基板の footprint「TDSON-8-1」は Infineon の PG-TDSON-8 用なので幾何学的に一致する。Ciss / Qg は候補 3 品種で最小。Tj max だけ 175→150℃ に下がるが、TH1 がケース温度を読みファーム #4 が T_hard 115℃ で遮断するため到達しない。★ BSC028N06NSSC（C534317、露出パッド＝ソース）と、同一型番の Asian Brands 品は使用しない</t>
        </is>
      </c>
    </row>
    <row r="42" ht="32" customHeight="1">
      <c r="A42" s="51" t="inlineStr">
        <is>
          <t>確定</t>
        </is>
      </c>
      <c r="B42" s="51" t="inlineStr">
        <is>
          <t>R11 のタブ</t>
        </is>
      </c>
      <c r="C42" s="51" t="inlineStr">
        <is>
          <t>C&amp;B RESI TPAN0263F200RK9 のタブは絶縁（端子−フランジ間 2000VAC、絶縁抵抗 10MΩ 以上）。GND ベタへの接続は電気的に安全</t>
        </is>
      </c>
      <c r="D42" s="51" t="inlineStr">
        <is>
          <t>放熱経路としてフランジを GND ベタに接続する実装の妥当性を確認した</t>
        </is>
      </c>
    </row>
    <row r="43" ht="46.5" customHeight="1">
      <c r="A43" s="51" t="inlineStr">
        <is>
          <t>確定</t>
        </is>
      </c>
      <c r="B43" s="51" t="inlineStr">
        <is>
          <t>R40</t>
        </is>
      </c>
      <c r="C43" s="51" t="inlineStr">
        <is>
          <t>2.2kΩ は 1206 のまま（LCSC C4190）</t>
        </is>
      </c>
      <c r="D43" s="51" t="inlineStr">
        <is>
          <t>Vout 短絡時に 0.33W。0603（0.1W）では不足する</t>
        </is>
      </c>
    </row>
    <row r="44">
      <c r="A44" s="51" t="inlineStr">
        <is>
          <t>追記</t>
        </is>
      </c>
      <c r="B44" s="51" t="inlineStr">
        <is>
          <t>実測検証</t>
        </is>
      </c>
      <c r="C44" s="51" t="inlineStr">
        <is>
          <t>GND / Vout 経路抵抗と熱抵抗を基板図から数値解析し「7_レイアウト指示」下部に追記</t>
        </is>
      </c>
      <c r="D44" s="51" t="inlineStr">
        <is>
          <t>レイアウト指示が実際に満たされているかを定量確認した</t>
        </is>
      </c>
    </row>
    <row r="45" ht="119" customHeight="1"/>
    <row r="46" ht="119" customHeight="1">
      <c r="A46" s="52" t="inlineStr">
        <is>
          <t>※ 上表は 2026-10-14 の基板図・BOM 最終確認で確定した事項です。全部品の LCSC 品番が埋まり（基板パターンのみの JP1 を除く）、DRC はエラー・警告ともに 0、基板全体のクリアランス監査もパッケージ由来の 36 組を除いて違反なしです。</t>
        </is>
      </c>
    </row>
    <row r="47">
      <c r="A47" s="52" t="inlineStr">
        <is>
          <t>※ 試験記録シートは「MizuniGoal_PowerController_v3_0_0_試験記録シート.xlsx」に全面改訂しました。実施順序が「3.3V → マイコン → 低電圧基本動作 → 起動波形」に変わっています（EN がフェイルセーフのため、マイコンが動くまで Vout が出ない）。</t>
        </is>
      </c>
    </row>
  </sheetData>
  <mergeCells count="10">
    <mergeCell ref="A11:F11"/>
    <mergeCell ref="A10:F10"/>
    <mergeCell ref="A47:F47"/>
    <mergeCell ref="A46:F46"/>
    <mergeCell ref="A5:F5"/>
    <mergeCell ref="A9:F9"/>
    <mergeCell ref="A8:F8"/>
    <mergeCell ref="A6:F6"/>
    <mergeCell ref="A30:F30"/>
    <mergeCell ref="A7:F7"/>
  </mergeCells>
  <printOptions horizontalCentered="0"/>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E42"/>
  <sheetViews>
    <sheetView workbookViewId="0">
      <pane ySplit="4" topLeftCell="A5" activePane="bottomLeft" state="frozen"/>
      <selection pane="bottomLeft" activeCell="A1" sqref="A1"/>
    </sheetView>
  </sheetViews>
  <sheetFormatPr baseColWidth="8" defaultRowHeight="15"/>
  <cols>
    <col width="18" customWidth="1" min="1" max="1"/>
    <col width="10" customWidth="1" min="2" max="2"/>
    <col width="62" customWidth="1" min="3" max="3"/>
    <col width="44" customWidth="1" min="4" max="4"/>
    <col width="10" customWidth="1" min="5" max="5"/>
  </cols>
  <sheetData>
    <row r="1">
      <c r="A1" s="1" t="inlineStr">
        <is>
          <t>ネット接続表（追加・変更分）</t>
        </is>
      </c>
    </row>
    <row r="2" ht="28" customHeight="1">
      <c r="A2" s="2" t="inlineStr">
        <is>
          <t>既存ネットは「追加接続のみ」を記載。KiCad で 1 行ずつ結線し、チェック欄を埋めてください。ピン番号は 部品.ピン 形式。Q6(BSS138, SOT-23) は 1=G / 2=S / 3=D。IC4(LMR16006, SOT-23-6) は 1=CB / 2=GND / 3=FB / 4=SHDN / 5=VIN / 6=SW。</t>
        </is>
      </c>
    </row>
    <row r="3"/>
    <row r="4" ht="28" customHeight="1">
      <c r="A4" s="4" t="inlineStr">
        <is>
          <t>ネット名</t>
        </is>
      </c>
      <c r="B4" s="4" t="inlineStr">
        <is>
          <t>区分</t>
        </is>
      </c>
      <c r="C4" s="4" t="inlineStr">
        <is>
          <t>接続先（部品.ピン）</t>
        </is>
      </c>
      <c r="D4" s="4" t="inlineStr">
        <is>
          <t>備考</t>
        </is>
      </c>
      <c r="E4" s="4" t="inlineStr">
        <is>
          <t>チェック</t>
        </is>
      </c>
    </row>
    <row r="5" ht="30" customHeight="1">
      <c r="A5" s="37" t="inlineStr">
        <is>
          <t>VBUS</t>
        </is>
      </c>
      <c r="B5" s="30" t="inlineStr">
        <is>
          <t>既存</t>
        </is>
      </c>
      <c r="C5" s="9" t="inlineStr">
        <is>
          <t>IC4.5, R46.1, R32.1, C27.1, C28.1</t>
        </is>
      </c>
      <c r="D5" s="8" t="inlineStr">
        <is>
          <t>OR-ing 後・Q3 の前。3.3V 電源と VBUS センスを追加</t>
        </is>
      </c>
      <c r="E5" s="31" t="inlineStr"/>
    </row>
    <row r="6" ht="30" customHeight="1">
      <c r="A6" s="37" t="inlineStr">
        <is>
          <t>Vout</t>
        </is>
      </c>
      <c r="B6" s="30" t="inlineStr">
        <is>
          <t>既存</t>
        </is>
      </c>
      <c r="C6" s="9" t="inlineStr">
        <is>
          <t>R34.1</t>
        </is>
      </c>
      <c r="D6" s="8" t="inlineStr">
        <is>
          <t>Vout センス分圧の上側を追加</t>
        </is>
      </c>
      <c r="E6" s="31" t="inlineStr"/>
    </row>
    <row r="7" ht="30" customHeight="1">
      <c r="A7" s="37" t="inlineStr">
        <is>
          <t>ChopperLoad</t>
        </is>
      </c>
      <c r="B7" s="30" t="inlineStr">
        <is>
          <t>既存</t>
        </is>
      </c>
      <c r="C7" s="9" t="inlineStr">
        <is>
          <t>R36.1</t>
        </is>
      </c>
      <c r="D7" s="8" t="inlineStr">
        <is>
          <t>Q4 ドレイン。チョッパ動作監視の分圧上側を追加</t>
        </is>
      </c>
      <c r="E7" s="31" t="inlineStr"/>
    </row>
    <row r="8" ht="46" customHeight="1">
      <c r="A8" s="37" t="inlineStr">
        <is>
          <t>GND</t>
        </is>
      </c>
      <c r="B8" s="30" t="inlineStr">
        <is>
          <t>既存</t>
        </is>
      </c>
      <c r="C8" s="9" t="inlineStr">
        <is>
          <t>IC4.2, IC6.5, D10.A, C24.2, C25.2, C26.2, C27.2, C28.2, C30.2, C31.2, R45.2, R33.2, R35.2, R37.2, R40.2, C12.2, D8.A, Q6.2, JP1.2, TH1.2, TH2.2, C22.2, C23.2, C33.2, C34.2, C35.2, C20.2, LED3.K, J5.2, J6.5, TP32</t>
        </is>
      </c>
      <c r="D8" s="8" t="inlineStr">
        <is>
          <t>追加分のみ</t>
        </is>
      </c>
      <c r="E8" s="31" t="inlineStr"/>
    </row>
    <row r="9" ht="46" customHeight="1">
      <c r="A9" s="37" t="inlineStr">
        <is>
          <t>+3V3</t>
        </is>
      </c>
      <c r="B9" s="30" t="inlineStr">
        <is>
          <t>新規</t>
        </is>
      </c>
      <c r="C9" s="7" t="inlineStr">
        <is>
          <t>L2.2, C30.1, C31.1, R44.1, C32.1, IC6.4, C24.1, C25.1, R42.2, D11.A, R47.1, R52.1, R53.1, J6.1, TP24</t>
        </is>
      </c>
      <c r="D9" s="8" t="inlineStr">
        <is>
          <t>3.3V レール</t>
        </is>
      </c>
      <c r="E9" s="31" t="inlineStr"/>
    </row>
    <row r="10" ht="30" customHeight="1">
      <c r="A10" s="37" t="inlineStr">
        <is>
          <t>SW_3V3</t>
        </is>
      </c>
      <c r="B10" s="30" t="inlineStr">
        <is>
          <t>新規</t>
        </is>
      </c>
      <c r="C10" s="7" t="inlineStr">
        <is>
          <t>IC4.6, L2.1, C29.2, D10.K</t>
        </is>
      </c>
      <c r="D10" s="8" t="inlineStr">
        <is>
          <t>スイッチノード。ループ最小化</t>
        </is>
      </c>
      <c r="E10" s="31" t="inlineStr"/>
    </row>
    <row r="11" ht="30" customHeight="1">
      <c r="A11" s="37" t="inlineStr">
        <is>
          <t>BOOT_3V3</t>
        </is>
      </c>
      <c r="B11" s="30" t="inlineStr">
        <is>
          <t>新規</t>
        </is>
      </c>
      <c r="C11" s="7" t="inlineStr">
        <is>
          <t>IC4.1, C29.1</t>
        </is>
      </c>
      <c r="D11" s="8" t="inlineStr">
        <is>
          <t>ブートストラップ</t>
        </is>
      </c>
      <c r="E11" s="31" t="inlineStr"/>
    </row>
    <row r="12" ht="30" customHeight="1">
      <c r="A12" s="37" t="inlineStr">
        <is>
          <t>FB_3V3</t>
        </is>
      </c>
      <c r="B12" s="30" t="inlineStr">
        <is>
          <t>新規</t>
        </is>
      </c>
      <c r="C12" s="7" t="inlineStr">
        <is>
          <t>IC4.3, R44.2, R45.1, C32.2</t>
        </is>
      </c>
      <c r="D12" s="8" t="inlineStr">
        <is>
          <t>帰還。配線は最短・SW から離す</t>
        </is>
      </c>
      <c r="E12" s="31" t="inlineStr"/>
    </row>
    <row r="13" ht="30" customHeight="1">
      <c r="A13" s="37" t="inlineStr">
        <is>
          <t>SHDN_3V3</t>
        </is>
      </c>
      <c r="B13" s="30" t="inlineStr">
        <is>
          <t>新規</t>
        </is>
      </c>
      <c r="C13" s="7" t="inlineStr">
        <is>
          <t>IC4.4, R46.2</t>
        </is>
      </c>
      <c r="D13" s="8" t="inlineStr">
        <is>
          <t>常時イネーブル</t>
        </is>
      </c>
      <c r="E13" s="31" t="inlineStr"/>
    </row>
    <row r="14" ht="30" customHeight="1">
      <c r="A14" s="37" t="inlineStr">
        <is>
          <t>EN</t>
        </is>
      </c>
      <c r="B14" s="30" t="inlineStr">
        <is>
          <t>既存・変更</t>
        </is>
      </c>
      <c r="C14" s="9" t="inlineStr">
        <is>
          <t>IC3.5, TP7, R40.1, C12.1, D8.K, Q6.3, R41.1, J4.4</t>
        </is>
      </c>
      <c r="D14" s="8" t="inlineStr">
        <is>
          <t>旧：R5 経由の分圧ノード（旧名 EN_1）／新：3.3V 系ロジック。C12（既存 100nF）を流用。J4.4 は親シートでこのネットに直結し、階層ピンは EN 1 本に統合</t>
        </is>
      </c>
      <c r="E14" s="31" t="inlineStr"/>
    </row>
    <row r="15" ht="30" customHeight="1">
      <c r="A15" s="37" t="inlineStr">
        <is>
          <t>EN_SRC</t>
        </is>
      </c>
      <c r="B15" s="30" t="inlineStr">
        <is>
          <t>新規</t>
        </is>
      </c>
      <c r="C15" s="7" t="inlineStr">
        <is>
          <t>D11.K, R39.1</t>
        </is>
      </c>
      <c r="D15" s="8" t="inlineStr">
        <is>
          <t>D11 は Vout 短絡時の 3.3V レールへの逆流阻止</t>
        </is>
      </c>
      <c r="E15" s="31" t="inlineStr"/>
    </row>
    <row r="16" ht="30" customHeight="1">
      <c r="A16" s="37" t="inlineStr">
        <is>
          <t>EN_SWITCH</t>
        </is>
      </c>
      <c r="B16" s="30" t="inlineStr">
        <is>
          <t>新規</t>
        </is>
      </c>
      <c r="C16" s="7" t="inlineStr">
        <is>
          <t>R39.2, J4.3</t>
        </is>
      </c>
      <c r="D16" s="8" t="inlineStr">
        <is>
          <t>旧 EN_2 の置き換え</t>
        </is>
      </c>
      <c r="E16" s="31" t="inlineStr"/>
    </row>
    <row r="17" ht="30" customHeight="1">
      <c r="A17" s="37" t="inlineStr">
        <is>
          <t>EN_GATE</t>
        </is>
      </c>
      <c r="B17" s="30" t="inlineStr">
        <is>
          <t>新規</t>
        </is>
      </c>
      <c r="C17" s="7" t="inlineStr">
        <is>
          <t>Q6.1, R42.1, C20.1, R48.2, JP1.1, TP25</t>
        </is>
      </c>
      <c r="D17" s="8" t="inlineStr">
        <is>
          <t>L=運転 / H=遮断 / Hi-Z=93ms 後に遮断</t>
        </is>
      </c>
      <c r="E17" s="31" t="inlineStr"/>
    </row>
    <row r="18" ht="30" customHeight="1">
      <c r="A18" s="37" t="inlineStr">
        <is>
          <t>SHDN_REQ</t>
        </is>
      </c>
      <c r="B18" s="30" t="inlineStr">
        <is>
          <t>新規</t>
        </is>
      </c>
      <c r="C18" s="7" t="inlineStr">
        <is>
          <t>IC6.12, R48.1, TP28</t>
        </is>
      </c>
      <c r="D18" s="8" t="inlineStr">
        <is>
          <t>R48 は GPIO の突入電流制限</t>
        </is>
      </c>
      <c r="E18" s="31" t="inlineStr"/>
    </row>
    <row r="19" ht="30" customHeight="1">
      <c r="A19" s="37" t="inlineStr">
        <is>
          <t>EN_FB</t>
        </is>
      </c>
      <c r="B19" s="30" t="inlineStr">
        <is>
          <t>新規</t>
        </is>
      </c>
      <c r="C19" s="7" t="inlineStr">
        <is>
          <t>R41.2, IC6.15</t>
        </is>
      </c>
      <c r="D19" s="8" t="inlineStr">
        <is>
          <t>EN 読み戻し。スイッチ状態検出と STOP 復帰（EXTI）</t>
        </is>
      </c>
      <c r="E19" s="31" t="inlineStr"/>
    </row>
    <row r="20" ht="30" customHeight="1">
      <c r="A20" s="37" t="inlineStr">
        <is>
          <t>NTC_DRV</t>
        </is>
      </c>
      <c r="B20" s="30" t="inlineStr">
        <is>
          <t>新規</t>
        </is>
      </c>
      <c r="C20" s="7" t="inlineStr">
        <is>
          <t>IC6.14, R30.1, R31.1, TP27</t>
        </is>
      </c>
      <c r="D20" s="8" t="inlineStr">
        <is>
          <t>NTC 分圧の上側を GPIO で駆動（待機時 Low）</t>
        </is>
      </c>
      <c r="E20" s="31" t="inlineStr"/>
    </row>
    <row r="21" ht="30" customHeight="1">
      <c r="A21" s="37" t="inlineStr">
        <is>
          <t>TH1_SENSE</t>
        </is>
      </c>
      <c r="B21" s="30" t="inlineStr">
        <is>
          <t>新規</t>
        </is>
      </c>
      <c r="C21" s="7" t="inlineStr">
        <is>
          <t>R30.2, TH1.1, C22.1, IC6.7, TP26</t>
        </is>
      </c>
      <c r="D21" s="8" t="inlineStr">
        <is>
          <t>Q1〜Q3 近傍</t>
        </is>
      </c>
      <c r="E21" s="31" t="inlineStr"/>
    </row>
    <row r="22" ht="30" customHeight="1">
      <c r="A22" s="37" t="inlineStr">
        <is>
          <t>TH2_SENSE</t>
        </is>
      </c>
      <c r="B22" s="30" t="inlineStr">
        <is>
          <t>新規</t>
        </is>
      </c>
      <c r="C22" s="7" t="inlineStr">
        <is>
          <t>R31.2, TH2.1, C23.1, IC6.16, TP31</t>
        </is>
      </c>
      <c r="D22" s="8" t="inlineStr">
        <is>
          <t>R11 近傍（5mm 程度離す）</t>
        </is>
      </c>
      <c r="E22" s="31" t="inlineStr"/>
    </row>
    <row r="23" ht="30" customHeight="1">
      <c r="A23" s="37" t="inlineStr">
        <is>
          <t>VBUS_SENSE</t>
        </is>
      </c>
      <c r="B23" s="30" t="inlineStr">
        <is>
          <t>新規</t>
        </is>
      </c>
      <c r="C23" s="7" t="inlineStr">
        <is>
          <t>R32.2, R33.1, C33.1, IC6.8</t>
        </is>
      </c>
      <c r="D23" s="8" t="inlineStr">
        <is>
          <t>÷11</t>
        </is>
      </c>
      <c r="E23" s="31" t="inlineStr"/>
    </row>
    <row r="24" ht="30" customHeight="1">
      <c r="A24" s="37" t="inlineStr">
        <is>
          <t>VOUT_SENSE</t>
        </is>
      </c>
      <c r="B24" s="30" t="inlineStr">
        <is>
          <t>新規</t>
        </is>
      </c>
      <c r="C24" s="7" t="inlineStr">
        <is>
          <t>R34.2, R35.1, C34.1, IC6.9</t>
        </is>
      </c>
      <c r="D24" s="8" t="inlineStr">
        <is>
          <t>÷11</t>
        </is>
      </c>
      <c r="E24" s="31" t="inlineStr"/>
    </row>
    <row r="25" ht="30" customHeight="1">
      <c r="A25" s="37" t="inlineStr">
        <is>
          <t>CHOP_SENSE</t>
        </is>
      </c>
      <c r="B25" s="30" t="inlineStr">
        <is>
          <t>新規</t>
        </is>
      </c>
      <c r="C25" s="7" t="inlineStr">
        <is>
          <t>R36.2, R37.1, C35.1, IC6.10</t>
        </is>
      </c>
      <c r="D25" s="8" t="inlineStr">
        <is>
          <t>÷11。Low = チョッパ動作中</t>
        </is>
      </c>
      <c r="E25" s="31" t="inlineStr"/>
    </row>
    <row r="26" ht="30" customHeight="1">
      <c r="A26" s="37" t="inlineStr">
        <is>
          <t>LED3_DRV</t>
        </is>
      </c>
      <c r="B26" s="30" t="inlineStr">
        <is>
          <t>新規</t>
        </is>
      </c>
      <c r="C26" s="7" t="inlineStr">
        <is>
          <t>IC6.13, R43.1</t>
        </is>
      </c>
      <c r="D26" s="8" t="inlineStr">
        <is>
          <t>状態表示</t>
        </is>
      </c>
      <c r="E26" s="31" t="inlineStr"/>
    </row>
    <row r="27" ht="30" customHeight="1">
      <c r="A27" s="37" t="inlineStr">
        <is>
          <t>LED3_A</t>
        </is>
      </c>
      <c r="B27" s="30" t="inlineStr">
        <is>
          <t>新規</t>
        </is>
      </c>
      <c r="C27" s="7" t="inlineStr">
        <is>
          <t>R43.2, LED3.A</t>
        </is>
      </c>
      <c r="D27" s="8" t="inlineStr"/>
      <c r="E27" s="31" t="inlineStr"/>
    </row>
    <row r="28" ht="30" customHeight="1">
      <c r="A28" s="37" t="inlineStr">
        <is>
          <t>MCU_NRST</t>
        </is>
      </c>
      <c r="B28" s="30" t="inlineStr">
        <is>
          <t>新規</t>
        </is>
      </c>
      <c r="C28" s="7" t="inlineStr">
        <is>
          <t>IC6.6, C26.1, J6.4</t>
        </is>
      </c>
      <c r="D28" s="8" t="inlineStr"/>
      <c r="E28" s="31" t="inlineStr"/>
    </row>
    <row r="29" ht="30" customHeight="1">
      <c r="A29" s="37" t="inlineStr">
        <is>
          <t>SWDIO</t>
        </is>
      </c>
      <c r="B29" s="30" t="inlineStr">
        <is>
          <t>新規</t>
        </is>
      </c>
      <c r="C29" s="7" t="inlineStr">
        <is>
          <t>IC6.18, J6.2</t>
        </is>
      </c>
      <c r="D29" s="8" t="inlineStr">
        <is>
          <t>PA13</t>
        </is>
      </c>
      <c r="E29" s="31" t="inlineStr"/>
    </row>
    <row r="30" ht="30" customHeight="1">
      <c r="A30" s="37" t="inlineStr">
        <is>
          <t>SWCLK</t>
        </is>
      </c>
      <c r="B30" s="30" t="inlineStr">
        <is>
          <t>新規</t>
        </is>
      </c>
      <c r="C30" s="7" t="inlineStr">
        <is>
          <t>IC6.19, J6.3</t>
        </is>
      </c>
      <c r="D30" s="8" t="inlineStr">
        <is>
          <t>PA14。BOOT0 と共用だがプルダウン不要</t>
        </is>
      </c>
      <c r="E30" s="31" t="inlineStr"/>
    </row>
    <row r="31" ht="30" customHeight="1">
      <c r="A31" s="37" t="inlineStr">
        <is>
          <t>I2C_SCL</t>
        </is>
      </c>
      <c r="B31" s="30" t="inlineStr">
        <is>
          <t>新規</t>
        </is>
      </c>
      <c r="C31" s="7" t="inlineStr">
        <is>
          <t>IC6.20, R52.2, J5.3</t>
        </is>
      </c>
      <c r="D31" s="8" t="inlineStr">
        <is>
          <t>PB6</t>
        </is>
      </c>
      <c r="E31" s="31" t="inlineStr"/>
    </row>
    <row r="32" ht="30" customHeight="1">
      <c r="A32" s="37" t="inlineStr">
        <is>
          <t>I2C_SDA</t>
        </is>
      </c>
      <c r="B32" s="30" t="inlineStr">
        <is>
          <t>新規</t>
        </is>
      </c>
      <c r="C32" s="7" t="inlineStr">
        <is>
          <t>IC6.1, R53.2, J5.4</t>
        </is>
      </c>
      <c r="D32" s="8" t="inlineStr">
        <is>
          <t>PB7</t>
        </is>
      </c>
      <c r="E32" s="31" t="inlineStr"/>
    </row>
    <row r="33" ht="30" customHeight="1">
      <c r="A33" s="37" t="inlineStr">
        <is>
          <t>EXT_ADC1</t>
        </is>
      </c>
      <c r="B33" s="30" t="inlineStr">
        <is>
          <t>新規</t>
        </is>
      </c>
      <c r="C33" s="7" t="inlineStr">
        <is>
          <t>IC6.11, J5.5</t>
        </is>
      </c>
      <c r="D33" s="8" t="inlineStr">
        <is>
          <t>PA4</t>
        </is>
      </c>
      <c r="E33" s="31" t="inlineStr"/>
    </row>
    <row r="34" ht="30" customHeight="1">
      <c r="A34" s="37" t="inlineStr">
        <is>
          <t>EXT_GPIO</t>
        </is>
      </c>
      <c r="B34" s="30" t="inlineStr">
        <is>
          <t>新規</t>
        </is>
      </c>
      <c r="C34" s="7" t="inlineStr">
        <is>
          <t>IC6.17, J5.6</t>
        </is>
      </c>
      <c r="D34" s="8" t="inlineStr">
        <is>
          <t>PA12</t>
        </is>
      </c>
      <c r="E34" s="31" t="inlineStr"/>
    </row>
    <row r="35" ht="30" customHeight="1">
      <c r="A35" s="37" t="inlineStr">
        <is>
          <t>EXT_3V3</t>
        </is>
      </c>
      <c r="B35" s="30" t="inlineStr">
        <is>
          <t>新規</t>
        </is>
      </c>
      <c r="C35" s="7" t="inlineStr">
        <is>
          <t>R47.2, J5.1</t>
        </is>
      </c>
      <c r="D35" s="8" t="inlineStr">
        <is>
          <t>R47 は 0Ω。v2.4 で PPTC 等に差し替え可</t>
        </is>
      </c>
      <c r="E35" s="31" t="inlineStr"/>
    </row>
    <row r="36" ht="30" customHeight="1">
      <c r="A36" s="37" t="inlineStr">
        <is>
          <t>MCU_SPARE1</t>
        </is>
      </c>
      <c r="B36" s="30" t="inlineStr">
        <is>
          <t>新規</t>
        </is>
      </c>
      <c r="C36" s="7" t="inlineStr">
        <is>
          <t>IC6.2, TP29</t>
        </is>
      </c>
      <c r="D36" s="8" t="inlineStr">
        <is>
          <t>PC14。テストパッドのみ</t>
        </is>
      </c>
      <c r="E36" s="31" t="inlineStr"/>
    </row>
    <row r="37" ht="30" customHeight="1">
      <c r="A37" s="37" t="inlineStr">
        <is>
          <t>MCU_SPARE2</t>
        </is>
      </c>
      <c r="B37" s="30" t="inlineStr">
        <is>
          <t>新規</t>
        </is>
      </c>
      <c r="C37" s="7" t="inlineStr">
        <is>
          <t>IC6.3, TP30</t>
        </is>
      </c>
      <c r="D37" s="8" t="inlineStr">
        <is>
          <t>PC15。テストパッドのみ</t>
        </is>
      </c>
      <c r="E37" s="31" t="inlineStr"/>
    </row>
    <row r="38"/>
    <row r="39" ht="30" customHeight="1">
      <c r="A39" s="37" t="inlineStr">
        <is>
          <t>Q3_Gate</t>
        </is>
      </c>
      <c r="B39" s="33" t="n"/>
      <c r="C39" s="33" t="n"/>
      <c r="D39" s="33" t="n"/>
      <c r="E39" s="34" t="n"/>
    </row>
    <row r="40" ht="30" customHeight="1">
      <c r="A40" s="37" t="inlineStr">
        <is>
          <t>Q3_GATE_F</t>
        </is>
      </c>
      <c r="B40" s="33" t="n"/>
      <c r="C40" s="33" t="n"/>
      <c r="D40" s="33" t="n"/>
      <c r="E40" s="34" t="n"/>
    </row>
    <row r="41">
      <c r="A41" s="2" t="inlineStr">
        <is>
          <t>※ 削除するネット：EN_2（R5 の下側 → J4.4）。R5 / R6 / R9 の削除に伴い消滅します。</t>
        </is>
      </c>
    </row>
    <row r="42">
      <c r="A42" s="2" t="inlineStr">
        <is>
          <t>※ J4 の配線とスイッチ・ハーネスは v2.1.1 のまま流用できます。pin1 = Vout_after_PPTC / pin2 = GND / pin3 = EN_SWITCH / pin4 = EN と、接続先ネットだけが変わります。</t>
        </is>
      </c>
    </row>
  </sheetData>
  <autoFilter ref="A4:E37"/>
  <mergeCells count="2">
    <mergeCell ref="A39:E39"/>
    <mergeCell ref="A40:E40"/>
  </mergeCells>
  <dataValidations count="1">
    <dataValidation sqref="E5 E6 E7 E8 E9 E10 E11 E12 E13 E14 E15 E16 E17 E18 E19 E20 E21 E22 E23 E24 E25 E26 E27 E28 E29 E30 E31 E32 E33 E34 E35 E36 E37" showDropDown="0" showInputMessage="0" showErrorMessage="0" allowBlank="1" type="list">
      <formula1>"未,済"</formula1>
    </dataValidation>
  </dataValidations>
  <printOptions horizontalCentered="0"/>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56"/>
  <sheetViews>
    <sheetView workbookViewId="0">
      <pane ySplit="4" topLeftCell="A5" activePane="bottomLeft" state="frozen"/>
      <selection pane="bottomLeft" activeCell="A1" sqref="A1"/>
    </sheetView>
  </sheetViews>
  <sheetFormatPr baseColWidth="8" defaultRowHeight="15"/>
  <cols>
    <col width="10" customWidth="1" min="1" max="1"/>
    <col width="30" customWidth="1" min="2" max="2"/>
    <col width="34" customWidth="1" min="3" max="3"/>
    <col width="14" customWidth="1" min="4" max="4"/>
    <col width="14" customWidth="1" min="5" max="5"/>
    <col width="44" customWidth="1" min="6" max="6"/>
  </cols>
  <sheetData>
    <row r="1">
      <c r="A1" s="1" t="inlineStr">
        <is>
          <t>追加部品 BOM</t>
        </is>
      </c>
    </row>
    <row r="2" ht="28" customHeight="1">
      <c r="A2" s="2" t="inlineStr">
        <is>
          <t>LCSC 品番は実績のあるもののみ記載。空欄は JLCPCB の Basic / Preferred から選定し、発注時に在庫を確認してください。</t>
        </is>
      </c>
    </row>
    <row r="3"/>
    <row r="4" ht="28" customHeight="1">
      <c r="A4" s="4" t="inlineStr">
        <is>
          <t>Ref</t>
        </is>
      </c>
      <c r="B4" s="4" t="inlineStr">
        <is>
          <t>値 / 型番</t>
        </is>
      </c>
      <c r="C4" s="4" t="inlineStr">
        <is>
          <t>フットプリント</t>
        </is>
      </c>
      <c r="D4" s="4" t="inlineStr">
        <is>
          <t>数量</t>
        </is>
      </c>
      <c r="E4" s="4" t="inlineStr">
        <is>
          <t>LCSC</t>
        </is>
      </c>
      <c r="F4" s="4" t="inlineStr">
        <is>
          <t>用途・注意</t>
        </is>
      </c>
    </row>
    <row r="5" ht="28" customHeight="1">
      <c r="A5" s="37" t="inlineStr">
        <is>
          <t>IC4</t>
        </is>
      </c>
      <c r="B5" s="7" t="inlineStr">
        <is>
          <t>LMR16006XDDCR</t>
        </is>
      </c>
      <c r="C5" s="8" t="inlineStr">
        <is>
          <t>SOT-23-6</t>
        </is>
      </c>
      <c r="D5" s="30" t="n">
        <v>1</v>
      </c>
      <c r="E5" s="30" t="inlineStr">
        <is>
          <t>C87080</t>
        </is>
      </c>
      <c r="F5" s="8" t="inlineStr">
        <is>
          <t>3.3V 降圧。X 版（0.7MHz）を指定。Y 版は 2.1MHz で最小 ON 時間 80ns を割るため不可</t>
        </is>
      </c>
    </row>
    <row r="6" ht="28" customHeight="1">
      <c r="A6" s="37" t="inlineStr">
        <is>
          <t>IC6</t>
        </is>
      </c>
      <c r="B6" s="7" t="inlineStr">
        <is>
          <t>STM32C011F4P6</t>
        </is>
      </c>
      <c r="C6" s="8" t="inlineStr">
        <is>
          <t>TSSOP-20</t>
        </is>
      </c>
      <c r="D6" s="30" t="n">
        <v>1</v>
      </c>
      <c r="E6" s="30" t="inlineStr">
        <is>
          <t>C5452432</t>
        </is>
      </c>
      <c r="F6" s="8" t="inlineStr">
        <is>
          <t>保護制御。JLCPCB Extended</t>
        </is>
      </c>
    </row>
    <row r="7" ht="28" customHeight="1">
      <c r="A7" s="37" t="inlineStr">
        <is>
          <t>Q6</t>
        </is>
      </c>
      <c r="B7" s="7" t="inlineStr">
        <is>
          <t>BSS138</t>
        </is>
      </c>
      <c r="C7" s="8" t="inlineStr">
        <is>
          <t>SOT-23</t>
        </is>
      </c>
      <c r="D7" s="30" t="n">
        <v>1</v>
      </c>
      <c r="E7" s="30" t="inlineStr"/>
      <c r="F7" s="8" t="inlineStr">
        <is>
          <t>EN 引き下げ。1=G / 2=S / 3=D</t>
        </is>
      </c>
    </row>
    <row r="8" ht="75" customHeight="1">
      <c r="A8" s="47" t="inlineStr">
        <is>
          <t>L2</t>
        </is>
      </c>
      <c r="B8" s="48" t="inlineStr">
        <is>
          <t>ZEMS0530-330M（33µH ±20%, Isat 2.0A, Irms 1.2A, DCR 350mΩ typ / 395mΩ max）</t>
        </is>
      </c>
      <c r="C8" s="21" t="inlineStr">
        <is>
          <t>自作 L_ZE_ZEMS0530（5.4×5.2×2.8mm）</t>
        </is>
      </c>
      <c r="D8" s="21" t="n">
        <v>1</v>
      </c>
      <c r="E8" s="21" t="inlineStr">
        <is>
          <t>C41413117</t>
        </is>
      </c>
      <c r="F8" s="21" t="inlineStr">
        <is>
          <t>一体成型（完全磁気シールド）。Isat は LMR16006 の電流制限 max 1.7A で決まる（負荷 20mA ではない）。KiCad 標準ライブラリに該当なし。パッド 1.90×2.50mm を (±2.05, 0) に 2 個（データシート F=2.20 / G=6.00 / H=2.50 より）</t>
        </is>
      </c>
    </row>
    <row r="9" ht="28" customHeight="1">
      <c r="A9" s="37" t="inlineStr">
        <is>
          <t>D10</t>
        </is>
      </c>
      <c r="B9" s="7" t="inlineStr">
        <is>
          <t>100V / ≥1A ショットキー（SS210 等）</t>
        </is>
      </c>
      <c r="C9" s="8" t="inlineStr">
        <is>
          <t>SMA または SOD-123FL</t>
        </is>
      </c>
      <c r="D9" s="30" t="n">
        <v>1</v>
      </c>
      <c r="E9" s="30" t="inlineStr"/>
      <c r="F9" s="8" t="inlineStr">
        <is>
          <t>還流ダイオード。非同期整流なので必須</t>
        </is>
      </c>
    </row>
    <row r="10" ht="87.5" customHeight="1">
      <c r="A10" s="47" t="inlineStr">
        <is>
          <t>D11</t>
        </is>
      </c>
      <c r="B10" s="48" t="inlineStr">
        <is>
          <t>BAT46W（100V ショットキー）</t>
        </is>
      </c>
      <c r="C10" s="21" t="inlineStr">
        <is>
          <t>SOD-123</t>
        </is>
      </c>
      <c r="D10" s="21" t="n">
        <v>1</v>
      </c>
      <c r="E10" s="21" t="inlineStr">
        <is>
          <t>C7420332</t>
        </is>
      </c>
      <c r="F10" s="21" t="inlineStr">
        <is>
          <t>Vout 短絡時や J4 誤配線時に 3.3V レールへ逆流させない。逆電圧の最悪値は SMCJ33A クランプ時の約 50V。耐圧 30V 品（BAT54 等）および 40V 品（SS14 / B5819W 等）は不可。ショットキー必須：Vf がそのまま EN 電圧から引かれる（Vf 0.3V で EN 2.73V、シリコン 0.7V だと 2.36V）</t>
        </is>
      </c>
    </row>
    <row r="11" ht="28" customHeight="1">
      <c r="A11" s="37" t="inlineStr">
        <is>
          <t>TH2</t>
        </is>
      </c>
      <c r="B11" s="7" t="inlineStr">
        <is>
          <t>NCP21XV103J03RA（10kΩ, B=3944）</t>
        </is>
      </c>
      <c r="C11" s="8" t="inlineStr">
        <is>
          <t>0603</t>
        </is>
      </c>
      <c r="D11" s="30" t="n">
        <v>1</v>
      </c>
      <c r="E11" s="30" t="inlineStr"/>
      <c r="F11" s="8" t="inlineStr">
        <is>
          <t>TH1 と同一品。R11 近傍</t>
        </is>
      </c>
    </row>
    <row r="12" ht="28" customHeight="1">
      <c r="A12" s="37" t="inlineStr">
        <is>
          <t>LED3</t>
        </is>
      </c>
      <c r="B12" s="7" t="inlineStr">
        <is>
          <t>緑 LED</t>
        </is>
      </c>
      <c r="C12" s="8" t="inlineStr">
        <is>
          <t>0603</t>
        </is>
      </c>
      <c r="D12" s="30" t="n">
        <v>1</v>
      </c>
      <c r="E12" s="30" t="inlineStr"/>
      <c r="F12" s="8" t="inlineStr">
        <is>
          <t>状態表示</t>
        </is>
      </c>
    </row>
    <row r="13" ht="28" customHeight="1">
      <c r="A13" s="37" t="inlineStr">
        <is>
          <t>J5</t>
        </is>
      </c>
      <c r="B13" s="7" t="inlineStr">
        <is>
          <t>S06B-XASK-1（JST XA 2.5mm 側面）</t>
        </is>
      </c>
      <c r="C13" s="8" t="inlineStr">
        <is>
          <t>JST_XA_S06B-XASK-1</t>
        </is>
      </c>
      <c r="D13" s="30" t="n">
        <v>1</v>
      </c>
      <c r="E13" s="30" t="inlineStr"/>
      <c r="F13" s="8" t="inlineStr">
        <is>
          <t>拡張端子</t>
        </is>
      </c>
    </row>
    <row r="14" ht="28" customHeight="1">
      <c r="A14" s="37" t="inlineStr">
        <is>
          <t>J6</t>
        </is>
      </c>
      <c r="B14" s="7" t="inlineStr">
        <is>
          <t>1×5 2.54mm ピンヘッダ（シンボル: Connector:Conn_01x05_Pin）</t>
        </is>
      </c>
      <c r="C14" s="8" t="inlineStr">
        <is>
          <t>Connector_PinHeader_2.54mm:PinHeader_1x05_P2.54mm_Vertical</t>
        </is>
      </c>
      <c r="D14" s="30" t="n">
        <v>1</v>
      </c>
      <c r="E14" s="30" t="inlineStr">
        <is>
          <t>—</t>
        </is>
      </c>
      <c r="F14" s="8" t="inlineStr">
        <is>
          <t>SWD 書き込み。試作時は実装し、量産で DNP。GND（pin5）はサーマルリリーフ必須。シルクで pin1 を明示（pin1 = 3V3）。筐体に当たる場合は Horizontal 版に変更可</t>
        </is>
      </c>
    </row>
    <row r="15" ht="28" customHeight="1">
      <c r="A15" s="37" t="inlineStr">
        <is>
          <t>JP1</t>
        </is>
      </c>
      <c r="B15" s="7" t="inlineStr">
        <is>
          <t>はんだジャンパ（既定：開）</t>
        </is>
      </c>
      <c r="C15" s="8" t="inlineStr">
        <is>
          <t>SolderJumper_2_Open</t>
        </is>
      </c>
      <c r="D15" s="30" t="n">
        <v>1</v>
      </c>
      <c r="E15" s="30" t="inlineStr">
        <is>
          <t>—</t>
        </is>
      </c>
      <c r="F15" s="8" t="inlineStr">
        <is>
          <t>立上げ用バイパス</t>
        </is>
      </c>
    </row>
    <row r="16" ht="28" customHeight="1">
      <c r="A16" s="37" t="inlineStr">
        <is>
          <t>R30</t>
        </is>
      </c>
      <c r="B16" s="7" t="inlineStr">
        <is>
          <t>2.0kΩ 1%</t>
        </is>
      </c>
      <c r="C16" s="8" t="inlineStr">
        <is>
          <t>0603</t>
        </is>
      </c>
      <c r="D16" s="30" t="n">
        <v>1</v>
      </c>
      <c r="E16" s="30" t="inlineStr"/>
      <c r="F16" s="8" t="inlineStr">
        <is>
          <t>TH1 分圧上側</t>
        </is>
      </c>
    </row>
    <row r="17" ht="28" customHeight="1">
      <c r="A17" s="37" t="inlineStr">
        <is>
          <t>R31</t>
        </is>
      </c>
      <c r="B17" s="7" t="inlineStr">
        <is>
          <t>2.0kΩ 1%</t>
        </is>
      </c>
      <c r="C17" s="8" t="inlineStr">
        <is>
          <t>0603</t>
        </is>
      </c>
      <c r="D17" s="30" t="n">
        <v>1</v>
      </c>
      <c r="E17" s="30" t="inlineStr"/>
      <c r="F17" s="8" t="inlineStr">
        <is>
          <t>TH2 分圧上側</t>
        </is>
      </c>
    </row>
    <row r="18" ht="28" customHeight="1">
      <c r="A18" s="37" t="inlineStr">
        <is>
          <t>R32</t>
        </is>
      </c>
      <c r="B18" s="7" t="inlineStr">
        <is>
          <t>1MΩ 1%</t>
        </is>
      </c>
      <c r="C18" s="8" t="inlineStr">
        <is>
          <t>0603</t>
        </is>
      </c>
      <c r="D18" s="30" t="n">
        <v>1</v>
      </c>
      <c r="E18" s="30" t="inlineStr"/>
      <c r="F18" s="8" t="inlineStr">
        <is>
          <t>VBUS センス上側</t>
        </is>
      </c>
    </row>
    <row r="19" ht="28" customHeight="1">
      <c r="A19" s="37" t="inlineStr">
        <is>
          <t>R33</t>
        </is>
      </c>
      <c r="B19" s="7" t="inlineStr">
        <is>
          <t>100kΩ 1%</t>
        </is>
      </c>
      <c r="C19" s="8" t="inlineStr">
        <is>
          <t>0603</t>
        </is>
      </c>
      <c r="D19" s="30" t="n">
        <v>1</v>
      </c>
      <c r="E19" s="30" t="inlineStr"/>
      <c r="F19" s="8" t="inlineStr">
        <is>
          <t>VBUS センス下側</t>
        </is>
      </c>
    </row>
    <row r="20" ht="28" customHeight="1">
      <c r="A20" s="37" t="inlineStr">
        <is>
          <t>R34</t>
        </is>
      </c>
      <c r="B20" s="7" t="inlineStr">
        <is>
          <t>1MΩ 1%</t>
        </is>
      </c>
      <c r="C20" s="8" t="inlineStr">
        <is>
          <t>0603</t>
        </is>
      </c>
      <c r="D20" s="30" t="n">
        <v>1</v>
      </c>
      <c r="E20" s="30" t="inlineStr"/>
      <c r="F20" s="8" t="inlineStr">
        <is>
          <t>Vout センス上側</t>
        </is>
      </c>
    </row>
    <row r="21" ht="28" customHeight="1">
      <c r="A21" s="37" t="inlineStr">
        <is>
          <t>R35</t>
        </is>
      </c>
      <c r="B21" s="7" t="inlineStr">
        <is>
          <t>100kΩ 1%</t>
        </is>
      </c>
      <c r="C21" s="8" t="inlineStr">
        <is>
          <t>0603</t>
        </is>
      </c>
      <c r="D21" s="30" t="n">
        <v>1</v>
      </c>
      <c r="E21" s="30" t="inlineStr"/>
      <c r="F21" s="8" t="inlineStr">
        <is>
          <t>Vout センス下側</t>
        </is>
      </c>
    </row>
    <row r="22" ht="28" customHeight="1">
      <c r="A22" s="37" t="inlineStr">
        <is>
          <t>R36</t>
        </is>
      </c>
      <c r="B22" s="7" t="inlineStr">
        <is>
          <t>1MΩ 1%</t>
        </is>
      </c>
      <c r="C22" s="8" t="inlineStr">
        <is>
          <t>0603</t>
        </is>
      </c>
      <c r="D22" s="30" t="n">
        <v>1</v>
      </c>
      <c r="E22" s="30" t="inlineStr"/>
      <c r="F22" s="8" t="inlineStr">
        <is>
          <t>CHOP センス上側</t>
        </is>
      </c>
    </row>
    <row r="23" ht="28" customHeight="1">
      <c r="A23" s="37" t="inlineStr">
        <is>
          <t>R37</t>
        </is>
      </c>
      <c r="B23" s="7" t="inlineStr">
        <is>
          <t>100kΩ 1%</t>
        </is>
      </c>
      <c r="C23" s="8" t="inlineStr">
        <is>
          <t>0603</t>
        </is>
      </c>
      <c r="D23" s="30" t="n">
        <v>1</v>
      </c>
      <c r="E23" s="30" t="inlineStr"/>
      <c r="F23" s="8" t="inlineStr">
        <is>
          <t>CHOP センス下側</t>
        </is>
      </c>
    </row>
    <row r="24" ht="28" customHeight="1">
      <c r="A24" s="37" t="inlineStr">
        <is>
          <t>R43</t>
        </is>
      </c>
      <c r="B24" s="7" t="inlineStr">
        <is>
          <t>470Ω</t>
        </is>
      </c>
      <c r="C24" s="8" t="inlineStr">
        <is>
          <t>0603</t>
        </is>
      </c>
      <c r="D24" s="30" t="n">
        <v>1</v>
      </c>
      <c r="E24" s="30" t="inlineStr"/>
      <c r="F24" s="8" t="inlineStr">
        <is>
          <t>LED3 電流制限。(3.3−2.1)/470 = 2.55mA</t>
        </is>
      </c>
    </row>
    <row r="25" ht="28" customHeight="1">
      <c r="A25" s="37" t="inlineStr">
        <is>
          <t>R39</t>
        </is>
      </c>
      <c r="B25" s="7" t="inlineStr">
        <is>
          <t>220Ω 1%</t>
        </is>
      </c>
      <c r="C25" s="8" t="inlineStr">
        <is>
          <t>0603</t>
        </is>
      </c>
      <c r="D25" s="30" t="n">
        <v>1</v>
      </c>
      <c r="E25" s="30" t="inlineStr"/>
      <c r="F25" s="8" t="inlineStr">
        <is>
          <t>EN ループ。接点ウェッティング電流 1.22mA を決める</t>
        </is>
      </c>
    </row>
    <row r="26" ht="28" customHeight="1">
      <c r="A26" s="37" t="inlineStr">
        <is>
          <t>R40</t>
        </is>
      </c>
      <c r="B26" s="7" t="inlineStr">
        <is>
          <t>2.2kΩ 1%</t>
        </is>
      </c>
      <c r="C26" s="8" t="inlineStr">
        <is>
          <t>1206</t>
        </is>
      </c>
      <c r="D26" s="30" t="n">
        <v>1</v>
      </c>
      <c r="E26" s="30" t="inlineStr"/>
      <c r="F26" s="8" t="inlineStr">
        <is>
          <t>EN プルダウン。Vout 短絡時 0.33W。1206 以上を使うこと</t>
        </is>
      </c>
    </row>
    <row r="27" ht="28" customHeight="1">
      <c r="A27" s="37" t="inlineStr">
        <is>
          <t>R41</t>
        </is>
      </c>
      <c r="B27" s="7" t="inlineStr">
        <is>
          <t>10kΩ</t>
        </is>
      </c>
      <c r="C27" s="8" t="inlineStr">
        <is>
          <t>0603</t>
        </is>
      </c>
      <c r="D27" s="30" t="n">
        <v>1</v>
      </c>
      <c r="E27" s="30" t="inlineStr"/>
      <c r="F27" s="8" t="inlineStr">
        <is>
          <t>EN 読み戻し直列</t>
        </is>
      </c>
    </row>
    <row r="28" ht="28" customHeight="1">
      <c r="A28" s="37" t="inlineStr">
        <is>
          <t>R42</t>
        </is>
      </c>
      <c r="B28" s="7" t="inlineStr">
        <is>
          <t>1MΩ</t>
        </is>
      </c>
      <c r="C28" s="8" t="inlineStr">
        <is>
          <t>0603</t>
        </is>
      </c>
      <c r="D28" s="30" t="n">
        <v>1</v>
      </c>
      <c r="E28" s="30" t="inlineStr"/>
      <c r="F28" s="8" t="inlineStr">
        <is>
          <t>Q6 ゲートプルアップ。マイコン死亡時の遮断時定数を決める</t>
        </is>
      </c>
    </row>
    <row r="29" ht="28" customHeight="1">
      <c r="A29" s="37" t="inlineStr">
        <is>
          <t>R48</t>
        </is>
      </c>
      <c r="B29" s="7" t="inlineStr">
        <is>
          <t>220Ω</t>
        </is>
      </c>
      <c r="C29" s="8" t="inlineStr">
        <is>
          <t>0603</t>
        </is>
      </c>
      <c r="D29" s="30" t="n">
        <v>1</v>
      </c>
      <c r="E29" s="30" t="inlineStr"/>
      <c r="F29" s="8" t="inlineStr">
        <is>
          <t>SHDN_REQ → Q6 ゲート。GPIO 突入を 15mA に制限</t>
        </is>
      </c>
    </row>
    <row r="30" ht="28" customHeight="1">
      <c r="A30" s="37" t="inlineStr">
        <is>
          <t>R44</t>
        </is>
      </c>
      <c r="B30" s="7" t="inlineStr">
        <is>
          <t>100kΩ 1%</t>
        </is>
      </c>
      <c r="C30" s="8" t="inlineStr">
        <is>
          <t>0603</t>
        </is>
      </c>
      <c r="D30" s="30" t="n">
        <v>1</v>
      </c>
      <c r="E30" s="30" t="inlineStr"/>
      <c r="F30" s="8" t="inlineStr">
        <is>
          <t>3.3V FB 上側</t>
        </is>
      </c>
    </row>
    <row r="31" ht="28" customHeight="1">
      <c r="A31" s="37" t="inlineStr">
        <is>
          <t>R45</t>
        </is>
      </c>
      <c r="B31" s="7" t="inlineStr">
        <is>
          <t>30.1kΩ 1%</t>
        </is>
      </c>
      <c r="C31" s="8" t="inlineStr">
        <is>
          <t>0603</t>
        </is>
      </c>
      <c r="D31" s="30" t="n">
        <v>1</v>
      </c>
      <c r="E31" s="30" t="inlineStr"/>
      <c r="F31" s="8" t="inlineStr">
        <is>
          <t>3.3V FB 下側</t>
        </is>
      </c>
    </row>
    <row r="32" ht="28" customHeight="1">
      <c r="A32" s="37" t="inlineStr">
        <is>
          <t>R46</t>
        </is>
      </c>
      <c r="B32" s="7" t="inlineStr">
        <is>
          <t>100kΩ</t>
        </is>
      </c>
      <c r="C32" s="8" t="inlineStr">
        <is>
          <t>0603</t>
        </is>
      </c>
      <c r="D32" s="30" t="n">
        <v>1</v>
      </c>
      <c r="E32" s="30" t="inlineStr"/>
      <c r="F32" s="8" t="inlineStr">
        <is>
          <t>LMR16006 SHDN プルアップ</t>
        </is>
      </c>
    </row>
    <row r="33" ht="28" customHeight="1">
      <c r="A33" s="37" t="inlineStr">
        <is>
          <t>R47</t>
        </is>
      </c>
      <c r="B33" s="7" t="inlineStr">
        <is>
          <t>0Ω</t>
        </is>
      </c>
      <c r="C33" s="8" t="inlineStr">
        <is>
          <t>0603</t>
        </is>
      </c>
      <c r="D33" s="30" t="n">
        <v>1</v>
      </c>
      <c r="E33" s="30" t="inlineStr"/>
      <c r="F33" s="8" t="inlineStr">
        <is>
          <t>J5 の 3.3V 直列。v2.4 で PPTC 等に差し替え</t>
        </is>
      </c>
    </row>
    <row r="34" ht="28" customHeight="1">
      <c r="A34" s="37" t="inlineStr">
        <is>
          <t>R52</t>
        </is>
      </c>
      <c r="B34" s="7" t="inlineStr">
        <is>
          <t>2.2kΩ</t>
        </is>
      </c>
      <c r="C34" s="8" t="inlineStr">
        <is>
          <t>0603</t>
        </is>
      </c>
      <c r="D34" s="30" t="n">
        <v>1</v>
      </c>
      <c r="E34" s="30" t="inlineStr"/>
      <c r="F34" s="8" t="inlineStr">
        <is>
          <t>I2C プルアップ。4.7kΩ ではケーブル 1m で 400kHz が成立しないため 2.2kΩ。許容バス容量 535pF@100kHz / 160pF@400kHz。シンク 1.5mA</t>
        </is>
      </c>
    </row>
    <row r="35" ht="28" customHeight="1">
      <c r="A35" s="37" t="inlineStr">
        <is>
          <t>R53</t>
        </is>
      </c>
      <c r="B35" s="7" t="inlineStr">
        <is>
          <t>2.2kΩ</t>
        </is>
      </c>
      <c r="C35" s="8" t="inlineStr">
        <is>
          <t>0603</t>
        </is>
      </c>
      <c r="D35" s="30" t="n">
        <v>1</v>
      </c>
      <c r="E35" s="30" t="inlineStr"/>
      <c r="F35" s="8" t="inlineStr">
        <is>
          <t>I2C プルアップ。4.7kΩ ではケーブル 1m で 400kHz が成立しないため 2.2kΩ。許容バス容量 535pF@100kHz / 160pF@400kHz。シンク 1.5mA</t>
        </is>
      </c>
    </row>
    <row r="36" ht="28" customHeight="1">
      <c r="A36" s="37" t="inlineStr">
        <is>
          <t>C20</t>
        </is>
      </c>
      <c r="B36" s="7" t="inlineStr">
        <is>
          <t>100nF 50V X7R</t>
        </is>
      </c>
      <c r="C36" s="8" t="inlineStr">
        <is>
          <t>0603</t>
        </is>
      </c>
      <c r="D36" s="30" t="n">
        <v>1</v>
      </c>
      <c r="E36" s="30" t="inlineStr"/>
      <c r="F36" s="8" t="inlineStr">
        <is>
          <t>Q6 ゲート遅延。マイコン死亡時 93ms</t>
        </is>
      </c>
    </row>
    <row r="37" ht="28" customHeight="1">
      <c r="A37" s="37" t="inlineStr">
        <is>
          <t>C22</t>
        </is>
      </c>
      <c r="B37" s="7" t="inlineStr">
        <is>
          <t>10nF 50V X7R</t>
        </is>
      </c>
      <c r="C37" s="8" t="inlineStr">
        <is>
          <t>0603</t>
        </is>
      </c>
      <c r="D37" s="30" t="n">
        <v>1</v>
      </c>
      <c r="E37" s="30" t="inlineStr"/>
      <c r="F37" s="8" t="inlineStr">
        <is>
          <t>TH1 フィルタ</t>
        </is>
      </c>
    </row>
    <row r="38" ht="28" customHeight="1">
      <c r="A38" s="37" t="inlineStr">
        <is>
          <t>C23</t>
        </is>
      </c>
      <c r="B38" s="7" t="inlineStr">
        <is>
          <t>10nF 50V X7R</t>
        </is>
      </c>
      <c r="C38" s="8" t="inlineStr">
        <is>
          <t>0603</t>
        </is>
      </c>
      <c r="D38" s="30" t="n">
        <v>1</v>
      </c>
      <c r="E38" s="30" t="inlineStr"/>
      <c r="F38" s="8" t="inlineStr">
        <is>
          <t>TH2 フィルタ</t>
        </is>
      </c>
    </row>
    <row r="39" ht="28" customHeight="1">
      <c r="A39" s="37" t="inlineStr">
        <is>
          <t>C24</t>
        </is>
      </c>
      <c r="B39" s="7" t="inlineStr">
        <is>
          <t>100nF 16V X7R</t>
        </is>
      </c>
      <c r="C39" s="8" t="inlineStr">
        <is>
          <t>0603</t>
        </is>
      </c>
      <c r="D39" s="30" t="n">
        <v>1</v>
      </c>
      <c r="E39" s="30" t="inlineStr"/>
      <c r="F39" s="8" t="inlineStr">
        <is>
          <t>MCU VDD デカップリング。ピン直近</t>
        </is>
      </c>
    </row>
    <row r="40" ht="28" customHeight="1">
      <c r="A40" s="37" t="inlineStr">
        <is>
          <t>C25</t>
        </is>
      </c>
      <c r="B40" s="7" t="inlineStr">
        <is>
          <t>1µF 16V X7R</t>
        </is>
      </c>
      <c r="C40" s="8" t="inlineStr">
        <is>
          <t>0603</t>
        </is>
      </c>
      <c r="D40" s="30" t="n">
        <v>1</v>
      </c>
      <c r="E40" s="30" t="inlineStr"/>
      <c r="F40" s="8" t="inlineStr">
        <is>
          <t>MCU VDD バルク</t>
        </is>
      </c>
    </row>
    <row r="41" ht="28" customHeight="1">
      <c r="A41" s="37" t="inlineStr">
        <is>
          <t>C26</t>
        </is>
      </c>
      <c r="B41" s="7" t="inlineStr">
        <is>
          <t>100nF 16V X7R</t>
        </is>
      </c>
      <c r="C41" s="8" t="inlineStr">
        <is>
          <t>0603</t>
        </is>
      </c>
      <c r="D41" s="30" t="n">
        <v>1</v>
      </c>
      <c r="E41" s="30" t="inlineStr"/>
      <c r="F41" s="8" t="inlineStr">
        <is>
          <t>NRST</t>
        </is>
      </c>
    </row>
    <row r="42" ht="28" customHeight="1">
      <c r="A42" s="37" t="inlineStr">
        <is>
          <t>C27</t>
        </is>
      </c>
      <c r="B42" s="7" t="inlineStr">
        <is>
          <t>2.2µF 100V X7R</t>
        </is>
      </c>
      <c r="C42" s="8" t="inlineStr">
        <is>
          <t>1206</t>
        </is>
      </c>
      <c r="D42" s="30" t="n">
        <v>1</v>
      </c>
      <c r="E42" s="30" t="inlineStr"/>
      <c r="F42" s="8" t="inlineStr">
        <is>
          <t>3.3V 入力。IC4 の VIN−GND 直近</t>
        </is>
      </c>
    </row>
    <row r="43" ht="28" customHeight="1">
      <c r="A43" s="37" t="inlineStr">
        <is>
          <t>C28</t>
        </is>
      </c>
      <c r="B43" s="7" t="inlineStr">
        <is>
          <t>100nF 100V X7R</t>
        </is>
      </c>
      <c r="C43" s="8" t="inlineStr">
        <is>
          <t>0603</t>
        </is>
      </c>
      <c r="D43" s="30" t="n">
        <v>1</v>
      </c>
      <c r="E43" s="30" t="inlineStr"/>
      <c r="F43" s="8" t="inlineStr">
        <is>
          <t>3.3V 入力（高周波）</t>
        </is>
      </c>
    </row>
    <row r="44" ht="28" customHeight="1">
      <c r="A44" s="37" t="inlineStr">
        <is>
          <t>C29</t>
        </is>
      </c>
      <c r="B44" s="7" t="inlineStr">
        <is>
          <t>100nF 16V X7R</t>
        </is>
      </c>
      <c r="C44" s="8" t="inlineStr">
        <is>
          <t>0603</t>
        </is>
      </c>
      <c r="D44" s="30" t="n">
        <v>1</v>
      </c>
      <c r="E44" s="30" t="inlineStr"/>
      <c r="F44" s="8" t="inlineStr">
        <is>
          <t>ブートストラップ</t>
        </is>
      </c>
    </row>
    <row r="45" ht="28" customHeight="1">
      <c r="A45" s="37" t="inlineStr">
        <is>
          <t>C30</t>
        </is>
      </c>
      <c r="B45" s="7" t="inlineStr">
        <is>
          <t>22µF 16V X7R</t>
        </is>
      </c>
      <c r="C45" s="8" t="inlineStr">
        <is>
          <t>1206</t>
        </is>
      </c>
      <c r="D45" s="30" t="n">
        <v>1</v>
      </c>
      <c r="E45" s="30" t="inlineStr"/>
      <c r="F45" s="8" t="inlineStr">
        <is>
          <t>3.3V 出力</t>
        </is>
      </c>
    </row>
    <row r="46" ht="28" customHeight="1">
      <c r="A46" s="37" t="inlineStr">
        <is>
          <t>C31</t>
        </is>
      </c>
      <c r="B46" s="7" t="inlineStr">
        <is>
          <t>100nF 16V X7R</t>
        </is>
      </c>
      <c r="C46" s="8" t="inlineStr">
        <is>
          <t>0603</t>
        </is>
      </c>
      <c r="D46" s="30" t="n">
        <v>1</v>
      </c>
      <c r="E46" s="30" t="inlineStr"/>
      <c r="F46" s="8" t="inlineStr">
        <is>
          <t>3.3V 出力（高周波）</t>
        </is>
      </c>
    </row>
    <row r="47" ht="28" customHeight="1">
      <c r="A47" s="37" t="inlineStr">
        <is>
          <t>C32</t>
        </is>
      </c>
      <c r="B47" s="7" t="inlineStr">
        <is>
          <t>22pF 50V C0G</t>
        </is>
      </c>
      <c r="C47" s="8" t="inlineStr">
        <is>
          <t>0603</t>
        </is>
      </c>
      <c r="D47" s="30" t="n">
        <v>1</v>
      </c>
      <c r="E47" s="30" t="inlineStr"/>
      <c r="F47" s="8" t="inlineStr">
        <is>
          <t>FB フィードフォワード（R44 と並列）</t>
        </is>
      </c>
    </row>
    <row r="48" ht="28" customHeight="1">
      <c r="A48" s="37" t="inlineStr">
        <is>
          <t>C33</t>
        </is>
      </c>
      <c r="B48" s="7" t="inlineStr">
        <is>
          <t>100nF 50V X7R</t>
        </is>
      </c>
      <c r="C48" s="8" t="inlineStr">
        <is>
          <t>0603</t>
        </is>
      </c>
      <c r="D48" s="30" t="n">
        <v>1</v>
      </c>
      <c r="E48" s="30" t="inlineStr"/>
      <c r="F48" s="8" t="inlineStr">
        <is>
          <t>VBUS センス</t>
        </is>
      </c>
    </row>
    <row r="49" ht="28" customHeight="1">
      <c r="A49" s="37" t="inlineStr">
        <is>
          <t>C34</t>
        </is>
      </c>
      <c r="B49" s="7" t="inlineStr">
        <is>
          <t>1nF 50V C0G</t>
        </is>
      </c>
      <c r="C49" s="8" t="inlineStr">
        <is>
          <t>0603</t>
        </is>
      </c>
      <c r="D49" s="30" t="n">
        <v>1</v>
      </c>
      <c r="E49" s="30" t="inlineStr"/>
      <c r="F49" s="21" t="inlineStr">
        <is>
          <t>Vout センス。高速短絡検出のため 1nF（時定数 91µs）。100nF では間に合わない</t>
        </is>
      </c>
    </row>
    <row r="50" ht="28" customHeight="1">
      <c r="A50" s="37" t="inlineStr">
        <is>
          <t>C35</t>
        </is>
      </c>
      <c r="B50" s="7" t="inlineStr">
        <is>
          <t>1nF 50V C0G</t>
        </is>
      </c>
      <c r="C50" s="8" t="inlineStr">
        <is>
          <t>0603</t>
        </is>
      </c>
      <c r="D50" s="30" t="n">
        <v>1</v>
      </c>
      <c r="E50" s="30" t="inlineStr"/>
      <c r="F50" s="8" t="inlineStr">
        <is>
          <t>CHOP センス。チョッパのエッジを鈍らせない</t>
        </is>
      </c>
    </row>
    <row r="51" ht="28" customHeight="1">
      <c r="A51" s="37" t="inlineStr">
        <is>
          <t>R51</t>
        </is>
      </c>
      <c r="B51" s="7" t="inlineStr">
        <is>
          <t>100Ω</t>
        </is>
      </c>
      <c r="C51" s="8" t="inlineStr">
        <is>
          <t>0603</t>
        </is>
      </c>
      <c r="D51" s="30" t="n">
        <v>1</v>
      </c>
      <c r="E51" s="30" t="inlineStr"/>
      <c r="F51" s="8" t="inlineStr">
        <is>
          <t>Q3 ゲート直列。クランプ電流を 250mA に制限。立ち上がりへの影響は τ = 0.44µs で無視できる</t>
        </is>
      </c>
    </row>
    <row r="52" ht="30" customHeight="1">
      <c r="A52" s="37" t="inlineStr">
        <is>
          <t>D12</t>
        </is>
      </c>
      <c r="B52" s="7" t="inlineStr">
        <is>
          <t>SMAJ15A（15V TVS、1500W）</t>
        </is>
      </c>
      <c r="C52" s="8" t="inlineStr">
        <is>
          <t>SMA</t>
        </is>
      </c>
      <c r="D52" s="30" t="n">
        <v>1</v>
      </c>
      <c r="E52" s="30" t="inlineStr"/>
      <c r="F52" s="8" t="inlineStr">
        <is>
          <t>Q3 のゲート−ソース間クランプ。カソード＝ゲート。**Q3 の G / S パッド直近にループ最小で配置すること**</t>
        </is>
      </c>
    </row>
    <row r="53" ht="30" customHeight="1">
      <c r="A53" s="37" t="inlineStr">
        <is>
          <t>TP24〜TP32</t>
        </is>
      </c>
      <c r="B53" s="33" t="n"/>
      <c r="C53" s="33" t="n"/>
      <c r="D53" s="33" t="n">
        <v>9</v>
      </c>
      <c r="E53" s="33" t="n"/>
      <c r="F53" s="34" t="inlineStr">
        <is>
          <t>TP24 +3V3 / TP25 EN_GATE / TP26 TH1_SENSE / TP27 NTC_DRV / TP28 SHDN_REQ / TP29 MCU_SPARE1 / TP30 MCU_SPARE2 / TP31 TH2_SENSE / TP32 GND（マイコン部近傍・スルーホール）</t>
        </is>
      </c>
    </row>
    <row r="54" ht="16" customHeight="1"/>
    <row r="55" ht="28" customHeight="1">
      <c r="A55" s="2" t="inlineStr">
        <is>
          <t>※ 新規実装は約 50 点（うち受動部品 36 点）。マイコンブロックに概ね 25 × 20mm の面積が必要です。</t>
        </is>
      </c>
    </row>
    <row r="56">
      <c r="A56" s="11" t="inlineStr">
        <is>
          <t>※ IC6（STM32C011F4P6）の動作温度は −40〜+85℃ です。筐体内 65℃ の環境なので、Q1〜Q3 および R11 から離して配置してください（詳細は 7_レイアウト指示）。</t>
        </is>
      </c>
    </row>
  </sheetData>
  <autoFilter ref="A4:F52"/>
  <mergeCells count="2">
    <mergeCell ref="A54:F54"/>
    <mergeCell ref="A55:F55"/>
  </mergeCells>
  <printOptions horizontalCentered="0"/>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E19"/>
  <sheetViews>
    <sheetView workbookViewId="0">
      <pane ySplit="4" topLeftCell="A5" activePane="bottomLeft" state="frozen"/>
      <selection pane="bottomLeft" activeCell="A1" sqref="A1"/>
    </sheetView>
  </sheetViews>
  <sheetFormatPr baseColWidth="8" defaultRowHeight="15"/>
  <cols>
    <col width="10" customWidth="1" min="1" max="1"/>
    <col width="16" customWidth="1" min="2" max="2"/>
    <col width="26" customWidth="1" min="3" max="3"/>
    <col width="26" customWidth="1" min="4" max="4"/>
    <col width="52" customWidth="1" min="5" max="5"/>
  </cols>
  <sheetData>
    <row r="1">
      <c r="A1" s="1" t="inlineStr">
        <is>
          <t>削除・変更する既存部品</t>
        </is>
      </c>
    </row>
    <row r="2" ht="28" customHeight="1">
      <c r="A2" s="2" t="inlineStr">
        <is>
          <t>v2.1.1 の回路図・基板図から削除または差し替える部品。</t>
        </is>
      </c>
    </row>
    <row r="3"/>
    <row r="4" ht="28" customHeight="1">
      <c r="A4" s="4" t="inlineStr">
        <is>
          <t>Ref</t>
        </is>
      </c>
      <c r="B4" s="4" t="inlineStr">
        <is>
          <t>処置</t>
        </is>
      </c>
      <c r="C4" s="4" t="inlineStr">
        <is>
          <t>v2.1.1</t>
        </is>
      </c>
      <c r="D4" s="4" t="inlineStr">
        <is>
          <t>v2.3</t>
        </is>
      </c>
      <c r="E4" s="4" t="inlineStr">
        <is>
          <t>理由</t>
        </is>
      </c>
    </row>
    <row r="5" ht="30" customHeight="1">
      <c r="A5" s="37" t="inlineStr">
        <is>
          <t>R5</t>
        </is>
      </c>
      <c r="B5" s="30" t="inlineStr">
        <is>
          <t>削除</t>
        </is>
      </c>
      <c r="C5" s="8" t="inlineStr">
        <is>
          <t>14.7kΩ</t>
        </is>
      </c>
      <c r="D5" s="7" t="inlineStr">
        <is>
          <t>—</t>
        </is>
      </c>
      <c r="E5" s="8" t="inlineStr">
        <is>
          <t>EN 分圧の上側（R9 と直列）。分圧方式を廃止</t>
        </is>
      </c>
    </row>
    <row r="6" ht="30" customHeight="1">
      <c r="A6" s="37" t="inlineStr">
        <is>
          <t>R6</t>
        </is>
      </c>
      <c r="B6" s="30" t="inlineStr">
        <is>
          <t>削除</t>
        </is>
      </c>
      <c r="C6" s="8" t="inlineStr">
        <is>
          <t>100kΩ</t>
        </is>
      </c>
      <c r="D6" s="7" t="inlineStr">
        <is>
          <t>—</t>
        </is>
      </c>
      <c r="E6" s="8" t="inlineStr">
        <is>
          <t>EN 分圧の下側（TH1 と並列）</t>
        </is>
      </c>
    </row>
    <row r="7" ht="30" customHeight="1">
      <c r="A7" s="37" t="inlineStr">
        <is>
          <t>R9</t>
        </is>
      </c>
      <c r="B7" s="30" t="inlineStr">
        <is>
          <t>削除</t>
        </is>
      </c>
      <c r="C7" s="8" t="inlineStr">
        <is>
          <t>10kΩ</t>
        </is>
      </c>
      <c r="D7" s="7" t="inlineStr">
        <is>
          <t>—</t>
        </is>
      </c>
      <c r="E7" s="8" t="inlineStr">
        <is>
          <t>VBUS から J4.3 への EN 分圧供給。3.3V 駆動に変更</t>
        </is>
      </c>
    </row>
    <row r="8" ht="30" customHeight="1">
      <c r="A8" s="37" t="inlineStr">
        <is>
          <t>D8</t>
        </is>
      </c>
      <c r="B8" s="30" t="inlineStr">
        <is>
          <t>部品変更</t>
        </is>
      </c>
      <c r="C8" s="8" t="inlineStr">
        <is>
          <t>BZT52C3V9（3.9V ツェナー）</t>
        </is>
      </c>
      <c r="D8" s="7" t="inlineStr">
        <is>
          <t>PESD5V0S1BA 等 5V 級 ESD</t>
        </is>
      </c>
      <c r="E8" s="8" t="inlineStr">
        <is>
          <t>EN 絶対最大は 75V。クランプ不要、ESD 保護のみ</t>
        </is>
      </c>
    </row>
    <row r="9" ht="56" customHeight="1">
      <c r="A9" s="37" t="inlineStr">
        <is>
          <t>C16</t>
        </is>
      </c>
      <c r="B9" s="30" t="inlineStr">
        <is>
          <t>変更なし</t>
        </is>
      </c>
      <c r="C9" s="8" t="inlineStr">
        <is>
          <t>0.15µF</t>
        </is>
      </c>
      <c r="D9" s="7" t="inlineStr">
        <is>
          <t>0.15µF（据え置き）</t>
        </is>
      </c>
      <c r="E9" s="8" t="inlineStr">
        <is>
          <t>当初 0.33µF への増量を提案したが撤回。起動タイムアウトの余裕は 1.31 → 1.81 倍に改善するが、短絡時の遮断が 106 → 145ms に悪化する。0.48µF は起動（最悪 94ms に対し 123ms）と短絡応答の両方を満たすほぼ唯一の範囲で、元の設計が正しい妥協点だった</t>
        </is>
      </c>
    </row>
    <row r="10" ht="30" customHeight="1">
      <c r="A10" s="39" t="inlineStr">
        <is>
          <t>C12</t>
        </is>
      </c>
      <c r="B10" s="39" t="inlineStr">
        <is>
          <t>変更なし</t>
        </is>
      </c>
      <c r="C10" s="39" t="inlineStr">
        <is>
          <t>100nF（EN − GND）</t>
        </is>
      </c>
      <c r="D10" s="39" t="inlineStr">
        <is>
          <t>100nF（据え置き）</t>
        </is>
      </c>
      <c r="E10" s="39" t="inlineStr">
        <is>
          <t>EN のフィルタ。当初 C21 10nF を新規に起こしたが、役割が C12 と同一のため C21 を廃止して流用する。100nF でも速度上の不利はない（遮断：Q6 の Rds 6Ω で τ = 0.6µs、Q6 自身のオンに C20 で 50µs かかるため律速にならない／復帰：R39 220Ω と R40 2.2kΩ のテブナン 200Ω で τ = 20µs）。EN は J4 ハーネスで筐体外に出るため容量は大きいほうが有利</t>
        </is>
      </c>
    </row>
    <row r="11" ht="30" customHeight="1">
      <c r="A11" s="39" t="inlineStr">
        <is>
          <t>C8</t>
        </is>
      </c>
      <c r="B11" s="39" t="inlineStr">
        <is>
          <t>変更なし</t>
        </is>
      </c>
      <c r="C11" s="39" t="inlineStr">
        <is>
          <t>100nF/100V（VIN − GND）</t>
        </is>
      </c>
      <c r="D11" s="39" t="inlineStr">
        <is>
          <t>100nF/100V（据え置き）</t>
        </is>
      </c>
      <c r="E11" s="39" t="inlineStr">
        <is>
          <t>IC3 の VIN デカップリング。EN ではない（EN 側は C12）。VIN は v2.3 でも電池ラインのままのため必要</t>
        </is>
      </c>
    </row>
    <row r="12" ht="34" customHeight="1">
      <c r="A12" s="37" t="inlineStr">
        <is>
          <t>TH1</t>
        </is>
      </c>
      <c r="B12" s="30" t="inlineStr">
        <is>
          <t>移設</t>
        </is>
      </c>
      <c r="C12" s="8" t="inlineStr">
        <is>
          <t>EN 分圧の下側（R6 と並列）</t>
        </is>
      </c>
      <c r="D12" s="7" t="inlineStr">
        <is>
          <t>R30 経由で MCU の ADC へ</t>
        </is>
      </c>
      <c r="E12" s="8" t="inlineStr">
        <is>
          <t>遮断点をファームウェアで決めるため。配置は v2.1.1 のまま（Q1 / Q2 / Q3 の中央、各ドレインパッドから約 1mm）で変更不要</t>
        </is>
      </c>
    </row>
    <row r="13" ht="16" customHeight="1">
      <c r="A13" s="37" t="inlineStr">
        <is>
          <t>J4</t>
        </is>
      </c>
      <c r="B13" s="33" t="n"/>
      <c r="C13" s="33" t="n"/>
      <c r="D13" s="33" t="n"/>
      <c r="E13" s="34" t="n"/>
    </row>
    <row r="14" ht="38" customHeight="1">
      <c r="A14" s="37" t="inlineStr">
        <is>
          <t>C34</t>
        </is>
      </c>
      <c r="B14" s="33" t="n"/>
      <c r="C14" s="33" t="n"/>
      <c r="D14" s="33" t="n"/>
      <c r="E14" s="34" t="n"/>
    </row>
    <row r="15" ht="34" customHeight="1"/>
    <row r="16">
      <c r="A16" s="37" t="inlineStr">
        <is>
          <t>Q3 ゲート網</t>
        </is>
      </c>
      <c r="B16" s="33" t="n"/>
      <c r="C16" s="33" t="n"/>
      <c r="D16" s="33" t="n"/>
      <c r="E16" s="34" t="n"/>
    </row>
    <row r="17">
      <c r="A17" s="2" t="inlineStr">
        <is>
          <t>※ R11（200Ω）は据え置き。最終値は ①の 6-6 / 6-7（回生プロファイル実測）で決めます。</t>
        </is>
      </c>
    </row>
    <row r="18">
      <c r="A18" s="2" t="inlineStr">
        <is>
          <t>※ C9 + C15（44nF、GATE−GND 間）は変更なし。実測でゲート電流 17〜19µA、Vout 立ち上がり 74ms と確認済み。</t>
        </is>
      </c>
    </row>
    <row r="19">
      <c r="A19" s="26" t="n"/>
      <c r="B19" s="27" t="n"/>
      <c r="C19" s="28" t="n"/>
      <c r="D19" s="28" t="n"/>
      <c r="E19" s="28" t="n"/>
    </row>
  </sheetData>
  <mergeCells count="2">
    <mergeCell ref="A13:E13"/>
    <mergeCell ref="A14:E14"/>
  </mergeCells>
  <printOptions horizontalCentered="0"/>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F41"/>
  <sheetViews>
    <sheetView workbookViewId="0">
      <pane ySplit="4" topLeftCell="A5" activePane="bottomLeft" state="frozen"/>
      <selection pane="bottomLeft" activeCell="A1" sqref="A1"/>
    </sheetView>
  </sheetViews>
  <sheetFormatPr baseColWidth="8" defaultRowHeight="15"/>
  <cols>
    <col width="8" customWidth="1" min="1" max="1"/>
    <col width="16" customWidth="1" min="2" max="2"/>
    <col width="16" customWidth="1" min="3" max="3"/>
    <col width="20" customWidth="1" min="4" max="4"/>
    <col width="18" customWidth="1" min="5" max="5"/>
    <col width="44" customWidth="1" min="6" max="6"/>
  </cols>
  <sheetData>
    <row r="1">
      <c r="A1" s="1" t="inlineStr">
        <is>
          <t>STM32C011F4P6（TSSOP-20）ピン割り当て</t>
        </is>
      </c>
    </row>
    <row r="2" ht="28" customHeight="1">
      <c r="A2" s="2" t="inlineStr">
        <is>
          <t>PA13 / PA14 は SWD。PA14 は BOOT0 と共用だが、nBOOT_SEL の既定値でオプションバイト側から起動先が決まるためプルダウンは不要。</t>
        </is>
      </c>
    </row>
    <row r="3"/>
    <row r="4" ht="28" customHeight="1">
      <c r="A4" s="4" t="inlineStr">
        <is>
          <t>Pin</t>
        </is>
      </c>
      <c r="B4" s="4" t="inlineStr">
        <is>
          <t>名称</t>
        </is>
      </c>
      <c r="C4" s="4" t="inlineStr">
        <is>
          <t>機能</t>
        </is>
      </c>
      <c r="D4" s="4" t="inlineStr">
        <is>
          <t>ネット</t>
        </is>
      </c>
      <c r="E4" s="4" t="inlineStr">
        <is>
          <t>方向 / 設定</t>
        </is>
      </c>
      <c r="F4" s="4" t="inlineStr">
        <is>
          <t>用途</t>
        </is>
      </c>
    </row>
    <row r="5" ht="20" customHeight="1">
      <c r="A5" s="35" t="n">
        <v>1</v>
      </c>
      <c r="B5" s="30" t="inlineStr">
        <is>
          <t>PB7</t>
        </is>
      </c>
      <c r="C5" s="30" t="inlineStr">
        <is>
          <t>I2C1_SDA</t>
        </is>
      </c>
      <c r="D5" s="36" t="inlineStr">
        <is>
          <t>I2C_SDA</t>
        </is>
      </c>
      <c r="E5" s="30" t="inlineStr">
        <is>
          <t>AF OD</t>
        </is>
      </c>
      <c r="F5" s="8" t="inlineStr">
        <is>
          <t>J5 拡張端子（v2.4 以降）</t>
        </is>
      </c>
    </row>
    <row r="6" ht="20" customHeight="1">
      <c r="A6" s="35" t="n">
        <v>2</v>
      </c>
      <c r="B6" s="30" t="inlineStr">
        <is>
          <t>PC14</t>
        </is>
      </c>
      <c r="C6" s="30" t="inlineStr">
        <is>
          <t>GPIO</t>
        </is>
      </c>
      <c r="D6" s="36" t="inlineStr">
        <is>
          <t>MCU_SPARE1</t>
        </is>
      </c>
      <c r="E6" s="30" t="inlineStr">
        <is>
          <t>—</t>
        </is>
      </c>
      <c r="F6" s="8" t="inlineStr">
        <is>
          <t>予備。テストパッドのみ</t>
        </is>
      </c>
    </row>
    <row r="7" ht="20" customHeight="1">
      <c r="A7" s="35" t="n">
        <v>3</v>
      </c>
      <c r="B7" s="30" t="inlineStr">
        <is>
          <t>PC15</t>
        </is>
      </c>
      <c r="C7" s="30" t="inlineStr">
        <is>
          <t>GPIO</t>
        </is>
      </c>
      <c r="D7" s="36" t="inlineStr">
        <is>
          <t>MCU_SPARE2</t>
        </is>
      </c>
      <c r="E7" s="30" t="inlineStr">
        <is>
          <t>—</t>
        </is>
      </c>
      <c r="F7" s="8" t="inlineStr">
        <is>
          <t>予備。テストパッドのみ</t>
        </is>
      </c>
    </row>
    <row r="8" ht="20" customHeight="1">
      <c r="A8" s="35" t="n">
        <v>4</v>
      </c>
      <c r="B8" s="30" t="inlineStr">
        <is>
          <t>VDD/VDDA</t>
        </is>
      </c>
      <c r="C8" s="30" t="inlineStr">
        <is>
          <t>電源</t>
        </is>
      </c>
      <c r="D8" s="36" t="inlineStr">
        <is>
          <t>+3V3</t>
        </is>
      </c>
      <c r="E8" s="30" t="inlineStr">
        <is>
          <t>—</t>
        </is>
      </c>
      <c r="F8" s="8" t="inlineStr">
        <is>
          <t>C24 100nF + C25 1µF をピン直近に</t>
        </is>
      </c>
    </row>
    <row r="9" ht="20" customHeight="1">
      <c r="A9" s="35" t="n">
        <v>5</v>
      </c>
      <c r="B9" s="30" t="inlineStr">
        <is>
          <t>VSS/VSSA</t>
        </is>
      </c>
      <c r="C9" s="30" t="inlineStr">
        <is>
          <t>GND</t>
        </is>
      </c>
      <c r="D9" s="36" t="inlineStr">
        <is>
          <t>GND</t>
        </is>
      </c>
      <c r="E9" s="30" t="inlineStr">
        <is>
          <t>—</t>
        </is>
      </c>
      <c r="F9" s="8" t="inlineStr"/>
    </row>
    <row r="10" ht="20" customHeight="1">
      <c r="A10" s="35" t="n">
        <v>6</v>
      </c>
      <c r="B10" s="30" t="inlineStr">
        <is>
          <t>PF2-NRST</t>
        </is>
      </c>
      <c r="C10" s="30" t="inlineStr">
        <is>
          <t>リセット</t>
        </is>
      </c>
      <c r="D10" s="36" t="inlineStr">
        <is>
          <t>MCU_NRST</t>
        </is>
      </c>
      <c r="E10" s="30" t="inlineStr">
        <is>
          <t>—</t>
        </is>
      </c>
      <c r="F10" s="8" t="inlineStr">
        <is>
          <t>C26 100nF。J6.4 へ</t>
        </is>
      </c>
    </row>
    <row r="11" ht="20" customHeight="1">
      <c r="A11" s="35" t="n">
        <v>7</v>
      </c>
      <c r="B11" s="30" t="inlineStr">
        <is>
          <t>PA0</t>
        </is>
      </c>
      <c r="C11" s="30" t="inlineStr">
        <is>
          <t>ADC_IN0</t>
        </is>
      </c>
      <c r="D11" s="36" t="inlineStr">
        <is>
          <t>TH1_SENSE</t>
        </is>
      </c>
      <c r="E11" s="30" t="inlineStr">
        <is>
          <t>アナログ入力</t>
        </is>
      </c>
      <c r="F11" s="8" t="inlineStr">
        <is>
          <t>Q1〜Q3 近傍の温度。主たるサーマル保護</t>
        </is>
      </c>
    </row>
    <row r="12" ht="20" customHeight="1">
      <c r="A12" s="35" t="n">
        <v>8</v>
      </c>
      <c r="B12" s="30" t="inlineStr">
        <is>
          <t>PA1</t>
        </is>
      </c>
      <c r="C12" s="30" t="inlineStr">
        <is>
          <t>ADC_IN1</t>
        </is>
      </c>
      <c r="D12" s="36" t="inlineStr">
        <is>
          <t>VBUS_SENSE</t>
        </is>
      </c>
      <c r="E12" s="30" t="inlineStr">
        <is>
          <t>アナログ入力</t>
        </is>
      </c>
      <c r="F12" s="8" t="inlineStr">
        <is>
          <t>バッテリ電圧監視</t>
        </is>
      </c>
    </row>
    <row r="13" ht="20" customHeight="1">
      <c r="A13" s="35" t="n">
        <v>9</v>
      </c>
      <c r="B13" s="30" t="inlineStr">
        <is>
          <t>PA2</t>
        </is>
      </c>
      <c r="C13" s="30" t="inlineStr">
        <is>
          <t>ADC_IN2</t>
        </is>
      </c>
      <c r="D13" s="36" t="inlineStr">
        <is>
          <t>VOUT_SENSE</t>
        </is>
      </c>
      <c r="E13" s="30" t="inlineStr">
        <is>
          <t>アナログ入力</t>
        </is>
      </c>
      <c r="F13" s="8" t="inlineStr">
        <is>
          <t>Q3 の ON/OFF 実確認</t>
        </is>
      </c>
    </row>
    <row r="14" ht="20" customHeight="1">
      <c r="A14" s="35" t="n">
        <v>10</v>
      </c>
      <c r="B14" s="30" t="inlineStr">
        <is>
          <t>PA3</t>
        </is>
      </c>
      <c r="C14" s="30" t="inlineStr">
        <is>
          <t>ADC_IN3</t>
        </is>
      </c>
      <c r="D14" s="36" t="inlineStr">
        <is>
          <t>CHOP_SENSE</t>
        </is>
      </c>
      <c r="E14" s="30" t="inlineStr">
        <is>
          <t>デジタル入力</t>
        </is>
      </c>
      <c r="F14" s="8" t="inlineStr">
        <is>
          <t>チョッパ ON 時間の積算</t>
        </is>
      </c>
    </row>
    <row r="15" ht="20" customHeight="1">
      <c r="A15" s="35" t="n">
        <v>11</v>
      </c>
      <c r="B15" s="30" t="inlineStr">
        <is>
          <t>PA4</t>
        </is>
      </c>
      <c r="C15" s="30" t="inlineStr">
        <is>
          <t>ADC_IN4</t>
        </is>
      </c>
      <c r="D15" s="36" t="inlineStr">
        <is>
          <t>EXT_ADC1</t>
        </is>
      </c>
      <c r="E15" s="30" t="inlineStr">
        <is>
          <t>アナログ入力</t>
        </is>
      </c>
      <c r="F15" s="8" t="inlineStr">
        <is>
          <t>J5 拡張端子（v2.4 以降）</t>
        </is>
      </c>
    </row>
    <row r="16" ht="20" customHeight="1">
      <c r="A16" s="35" t="n">
        <v>12</v>
      </c>
      <c r="B16" s="30" t="inlineStr">
        <is>
          <t>PA5</t>
        </is>
      </c>
      <c r="C16" s="30" t="inlineStr">
        <is>
          <t>GPIO</t>
        </is>
      </c>
      <c r="D16" s="36" t="inlineStr">
        <is>
          <t>SHDN_REQ</t>
        </is>
      </c>
      <c r="E16" s="30" t="inlineStr">
        <is>
          <t>プッシュプル出力</t>
        </is>
      </c>
      <c r="F16" s="8" t="inlineStr">
        <is>
          <t>EN 制御。L = 運転 / H = 遮断</t>
        </is>
      </c>
    </row>
    <row r="17" ht="20" customHeight="1">
      <c r="A17" s="35" t="n">
        <v>13</v>
      </c>
      <c r="B17" s="30" t="inlineStr">
        <is>
          <t>PA6</t>
        </is>
      </c>
      <c r="C17" s="30" t="inlineStr">
        <is>
          <t>GPIO</t>
        </is>
      </c>
      <c r="D17" s="36" t="inlineStr">
        <is>
          <t>LED3_DRV</t>
        </is>
      </c>
      <c r="E17" s="30" t="inlineStr">
        <is>
          <t>プッシュプル出力</t>
        </is>
      </c>
      <c r="F17" s="8" t="inlineStr">
        <is>
          <t>状態表示</t>
        </is>
      </c>
    </row>
    <row r="18" ht="20" customHeight="1">
      <c r="A18" s="35" t="n">
        <v>14</v>
      </c>
      <c r="B18" s="30" t="inlineStr">
        <is>
          <t>PA7</t>
        </is>
      </c>
      <c r="C18" s="30" t="inlineStr">
        <is>
          <t>GPIO</t>
        </is>
      </c>
      <c r="D18" s="36" t="inlineStr">
        <is>
          <t>NTC_DRV</t>
        </is>
      </c>
      <c r="E18" s="30" t="inlineStr">
        <is>
          <t>プッシュプル出力</t>
        </is>
      </c>
      <c r="F18" s="8" t="inlineStr">
        <is>
          <t>NTC 分圧の駆動。待機時 Low</t>
        </is>
      </c>
    </row>
    <row r="19" ht="20" customHeight="1">
      <c r="A19" s="35" t="n">
        <v>15</v>
      </c>
      <c r="B19" s="30" t="inlineStr">
        <is>
          <t>PA8</t>
        </is>
      </c>
      <c r="C19" s="30" t="inlineStr">
        <is>
          <t>GPIO / EXTI</t>
        </is>
      </c>
      <c r="D19" s="36" t="inlineStr">
        <is>
          <t>EN_FB</t>
        </is>
      </c>
      <c r="E19" s="30" t="inlineStr">
        <is>
          <t>デジタル入力</t>
        </is>
      </c>
      <c r="F19" s="8" t="inlineStr">
        <is>
          <t>EN 読み戻し。スイッチ検出と STOP 復帰</t>
        </is>
      </c>
    </row>
    <row r="20" ht="20" customHeight="1">
      <c r="A20" s="35" t="n">
        <v>16</v>
      </c>
      <c r="B20" s="30" t="inlineStr">
        <is>
          <t>PA11</t>
        </is>
      </c>
      <c r="C20" s="30" t="inlineStr">
        <is>
          <t>ADC</t>
        </is>
      </c>
      <c r="D20" s="36" t="inlineStr">
        <is>
          <t>TH2_SENSE</t>
        </is>
      </c>
      <c r="E20" s="30" t="inlineStr">
        <is>
          <t>アナログ入力</t>
        </is>
      </c>
      <c r="F20" s="8" t="inlineStr">
        <is>
          <t>R11 近傍の温度</t>
        </is>
      </c>
    </row>
    <row r="21" ht="20" customHeight="1">
      <c r="A21" s="35" t="n">
        <v>17</v>
      </c>
      <c r="B21" s="30" t="inlineStr">
        <is>
          <t>PA12</t>
        </is>
      </c>
      <c r="C21" s="30" t="inlineStr">
        <is>
          <t>GPIO</t>
        </is>
      </c>
      <c r="D21" s="36" t="inlineStr">
        <is>
          <t>EXT_GPIO</t>
        </is>
      </c>
      <c r="E21" s="30" t="inlineStr">
        <is>
          <t>—</t>
        </is>
      </c>
      <c r="F21" s="8" t="inlineStr">
        <is>
          <t>J5 拡張端子（v2.4 以降）</t>
        </is>
      </c>
    </row>
    <row r="22" ht="20" customHeight="1">
      <c r="A22" s="35" t="n">
        <v>18</v>
      </c>
      <c r="B22" s="30" t="inlineStr">
        <is>
          <t>PA13</t>
        </is>
      </c>
      <c r="C22" s="30" t="inlineStr">
        <is>
          <t>SWDIO</t>
        </is>
      </c>
      <c r="D22" s="36" t="inlineStr">
        <is>
          <t>SWDIO</t>
        </is>
      </c>
      <c r="E22" s="30" t="inlineStr">
        <is>
          <t>AF</t>
        </is>
      </c>
      <c r="F22" s="8" t="inlineStr">
        <is>
          <t>J6.2</t>
        </is>
      </c>
    </row>
    <row r="23" ht="20" customHeight="1">
      <c r="A23" s="35" t="n">
        <v>19</v>
      </c>
      <c r="B23" s="30" t="inlineStr">
        <is>
          <t>PA14</t>
        </is>
      </c>
      <c r="C23" s="30" t="inlineStr">
        <is>
          <t>SWCLK</t>
        </is>
      </c>
      <c r="D23" s="36" t="inlineStr">
        <is>
          <t>SWCLK</t>
        </is>
      </c>
      <c r="E23" s="30" t="inlineStr">
        <is>
          <t>AF</t>
        </is>
      </c>
      <c r="F23" s="8" t="inlineStr">
        <is>
          <t>J6.3。BOOT0 共用</t>
        </is>
      </c>
    </row>
    <row r="24" ht="20" customHeight="1">
      <c r="A24" s="35" t="n">
        <v>20</v>
      </c>
      <c r="B24" s="30" t="inlineStr">
        <is>
          <t>PB6</t>
        </is>
      </c>
      <c r="C24" s="30" t="inlineStr">
        <is>
          <t>I2C1_SCL</t>
        </is>
      </c>
      <c r="D24" s="36" t="inlineStr">
        <is>
          <t>I2C_SCL</t>
        </is>
      </c>
      <c r="E24" s="30" t="inlineStr">
        <is>
          <t>AF OD</t>
        </is>
      </c>
      <c r="F24" s="8" t="inlineStr">
        <is>
          <t>J5 拡張端子（v2.4 以降）</t>
        </is>
      </c>
    </row>
    <row r="25"/>
    <row r="26">
      <c r="A26" s="3" t="inlineStr">
        <is>
          <t>J5 拡張端子（S06B-XASK-1）</t>
        </is>
      </c>
    </row>
    <row r="27" ht="28" customHeight="1">
      <c r="A27" s="4" t="inlineStr">
        <is>
          <t>Pin</t>
        </is>
      </c>
      <c r="B27" s="4" t="inlineStr">
        <is>
          <t>信号</t>
        </is>
      </c>
      <c r="C27" s="4" t="inlineStr">
        <is>
          <t>接続</t>
        </is>
      </c>
      <c r="D27" s="4" t="inlineStr"/>
      <c r="E27" s="4" t="inlineStr"/>
      <c r="F27" s="4" t="inlineStr"/>
    </row>
    <row r="28" ht="18" customHeight="1">
      <c r="A28" s="35" t="n">
        <v>1</v>
      </c>
      <c r="B28" s="30" t="inlineStr">
        <is>
          <t>3V3</t>
        </is>
      </c>
      <c r="C28" s="7" t="inlineStr">
        <is>
          <t>R47（0Ω）経由</t>
        </is>
      </c>
      <c r="D28" s="30" t="inlineStr"/>
      <c r="E28" s="30" t="inlineStr"/>
      <c r="F28" s="30" t="inlineStr"/>
    </row>
    <row r="29" ht="18" customHeight="1">
      <c r="A29" s="35" t="n">
        <v>2</v>
      </c>
      <c r="B29" s="30" t="inlineStr">
        <is>
          <t>GND</t>
        </is>
      </c>
      <c r="C29" s="7" t="inlineStr"/>
      <c r="D29" s="30" t="inlineStr"/>
      <c r="E29" s="30" t="inlineStr"/>
      <c r="F29" s="30" t="inlineStr"/>
    </row>
    <row r="30" ht="18" customHeight="1">
      <c r="A30" s="35" t="n">
        <v>3</v>
      </c>
      <c r="B30" s="30" t="inlineStr">
        <is>
          <t>SCL</t>
        </is>
      </c>
      <c r="C30" s="7" t="inlineStr">
        <is>
          <t>PB6、R52 4.7kΩ プルアップ</t>
        </is>
      </c>
      <c r="D30" s="30" t="inlineStr"/>
      <c r="E30" s="30" t="inlineStr"/>
      <c r="F30" s="30" t="inlineStr"/>
    </row>
    <row r="31" ht="18" customHeight="1">
      <c r="A31" s="35" t="n">
        <v>4</v>
      </c>
      <c r="B31" s="30" t="inlineStr">
        <is>
          <t>SDA</t>
        </is>
      </c>
      <c r="C31" s="7" t="inlineStr">
        <is>
          <t>PB7、R53 4.7kΩ プルアップ</t>
        </is>
      </c>
      <c r="D31" s="30" t="inlineStr"/>
      <c r="E31" s="30" t="inlineStr"/>
      <c r="F31" s="30" t="inlineStr"/>
    </row>
    <row r="32" ht="18" customHeight="1">
      <c r="A32" s="35" t="n">
        <v>5</v>
      </c>
      <c r="B32" s="30" t="inlineStr">
        <is>
          <t>ADC1</t>
        </is>
      </c>
      <c r="C32" s="7" t="inlineStr">
        <is>
          <t>PA4</t>
        </is>
      </c>
      <c r="D32" s="30" t="inlineStr"/>
      <c r="E32" s="30" t="inlineStr"/>
      <c r="F32" s="30" t="inlineStr"/>
    </row>
    <row r="33" ht="18" customHeight="1">
      <c r="A33" s="35" t="n">
        <v>6</v>
      </c>
      <c r="B33" s="30" t="inlineStr">
        <is>
          <t>GPIO</t>
        </is>
      </c>
      <c r="C33" s="7" t="inlineStr">
        <is>
          <t>PA12</t>
        </is>
      </c>
      <c r="D33" s="30" t="inlineStr"/>
      <c r="E33" s="30" t="inlineStr"/>
      <c r="F33" s="30" t="inlineStr"/>
    </row>
    <row r="34"/>
    <row r="35" ht="90" customHeight="1">
      <c r="A35" s="3" t="inlineStr">
        <is>
          <t>J6 SWD（1×5 2.54mm THT、XFCN PZ254V-11-05P / C492404、PCBA 実装）</t>
        </is>
      </c>
    </row>
    <row r="36" ht="28" customHeight="1">
      <c r="A36" s="4" t="inlineStr">
        <is>
          <t>Pin</t>
        </is>
      </c>
      <c r="B36" s="4" t="inlineStr">
        <is>
          <t>信号</t>
        </is>
      </c>
      <c r="C36" s="4" t="inlineStr"/>
      <c r="D36" s="4" t="inlineStr"/>
      <c r="E36" s="4" t="inlineStr"/>
      <c r="F36" s="4" t="inlineStr"/>
    </row>
    <row r="37" ht="18" customHeight="1">
      <c r="A37" s="35" t="n">
        <v>1</v>
      </c>
      <c r="B37" s="36" t="inlineStr">
        <is>
          <t>3V3</t>
        </is>
      </c>
      <c r="C37" s="30" t="inlineStr"/>
      <c r="D37" s="30" t="inlineStr"/>
      <c r="E37" s="30" t="inlineStr"/>
      <c r="F37" s="30" t="inlineStr"/>
    </row>
    <row r="38" ht="18" customHeight="1">
      <c r="A38" s="35" t="n">
        <v>2</v>
      </c>
      <c r="B38" s="36" t="inlineStr">
        <is>
          <t>SWDIO</t>
        </is>
      </c>
      <c r="C38" s="30" t="inlineStr"/>
      <c r="D38" s="30" t="inlineStr"/>
      <c r="E38" s="30" t="inlineStr"/>
      <c r="F38" s="30" t="inlineStr"/>
    </row>
    <row r="39" ht="18" customHeight="1">
      <c r="A39" s="35" t="n">
        <v>3</v>
      </c>
      <c r="B39" s="36" t="inlineStr">
        <is>
          <t>SWCLK</t>
        </is>
      </c>
      <c r="C39" s="30" t="inlineStr"/>
      <c r="D39" s="30" t="inlineStr"/>
      <c r="E39" s="30" t="inlineStr"/>
      <c r="F39" s="30" t="inlineStr"/>
    </row>
    <row r="40" ht="18" customHeight="1">
      <c r="A40" s="35" t="n">
        <v>4</v>
      </c>
      <c r="B40" s="36" t="inlineStr">
        <is>
          <t>NRST</t>
        </is>
      </c>
      <c r="C40" s="30" t="inlineStr"/>
      <c r="D40" s="30" t="inlineStr"/>
      <c r="E40" s="30" t="inlineStr"/>
      <c r="F40" s="30" t="inlineStr"/>
    </row>
    <row r="41" ht="18" customHeight="1">
      <c r="A41" s="35" t="n">
        <v>5</v>
      </c>
      <c r="B41" s="36" t="inlineStr">
        <is>
          <t>GND</t>
        </is>
      </c>
      <c r="C41" s="30" t="inlineStr"/>
      <c r="D41" s="30" t="inlineStr"/>
      <c r="E41" s="30" t="inlineStr"/>
      <c r="F41" s="30" t="inlineStr"/>
    </row>
  </sheetData>
  <printOptions horizontalCentered="0"/>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D74"/>
  <sheetViews>
    <sheetView workbookViewId="0">
      <selection activeCell="A1" sqref="A1"/>
    </sheetView>
  </sheetViews>
  <sheetFormatPr baseColWidth="8" defaultRowHeight="15"/>
  <cols>
    <col width="30" customWidth="1" min="1" max="1"/>
    <col width="20" customWidth="1" min="2" max="2"/>
    <col width="20" customWidth="1" min="3" max="3"/>
    <col width="58" customWidth="1" min="4" max="4"/>
  </cols>
  <sheetData>
    <row r="1">
      <c r="A1" s="1" t="inlineStr">
        <is>
          <t>定数と根拠</t>
        </is>
      </c>
    </row>
    <row r="2" ht="28" customHeight="1">
      <c r="A2" s="2" t="inlineStr">
        <is>
          <t>各定数の計算根拠。KiCad 入力後の検算に使ってください。</t>
        </is>
      </c>
    </row>
    <row r="3"/>
    <row r="4">
      <c r="A4" s="3" t="inlineStr">
        <is>
          <t>EN 制御回路</t>
        </is>
      </c>
    </row>
    <row r="5" ht="28" customHeight="1">
      <c r="A5" s="4" t="inlineStr">
        <is>
          <t>項目</t>
        </is>
      </c>
      <c r="B5" s="4" t="inlineStr">
        <is>
          <t>値</t>
        </is>
      </c>
      <c r="C5" s="4" t="inlineStr">
        <is>
          <t>条件</t>
        </is>
      </c>
      <c r="D5" s="4" t="inlineStr">
        <is>
          <t>根拠・計算</t>
        </is>
      </c>
    </row>
    <row r="6" ht="26" customHeight="1">
      <c r="A6" s="37" t="inlineStr">
        <is>
          <t>EN_SRC 電圧</t>
        </is>
      </c>
      <c r="B6" s="36" t="inlineStr">
        <is>
          <t>2.95 V</t>
        </is>
      </c>
      <c r="C6" s="30" t="inlineStr">
        <is>
          <t>3.3V − D11 VF 0.35V</t>
        </is>
      </c>
      <c r="D6" s="8" t="inlineStr">
        <is>
          <t>D11 = BAT46W（100V ショットキー）</t>
        </is>
      </c>
    </row>
    <row r="7" ht="26" customHeight="1">
      <c r="A7" s="37" t="inlineStr">
        <is>
          <t>EN 電圧（運転時）</t>
        </is>
      </c>
      <c r="B7" s="36" t="inlineStr">
        <is>
          <t>2.68 V</t>
        </is>
      </c>
      <c r="C7" s="30" t="inlineStr">
        <is>
          <t>R39 220Ω / R40 2.2kΩ / ENBIAS 6µA</t>
        </is>
      </c>
      <c r="D7" s="8" t="inlineStr">
        <is>
          <t>(2.95/220 − 6µ) ÷ (1/220 + 1/2200)。ENTHH 2.0V max に対し +0.68V</t>
        </is>
      </c>
    </row>
    <row r="8" ht="26" customHeight="1">
      <c r="A8" s="37" t="inlineStr">
        <is>
          <t>J4 接点電流</t>
        </is>
      </c>
      <c r="B8" s="36" t="inlineStr">
        <is>
          <t>1.22 mA</t>
        </is>
      </c>
      <c r="C8" s="30" t="inlineStr">
        <is>
          <t>同上</t>
        </is>
      </c>
      <c r="D8" s="8" t="inlineStr">
        <is>
          <t>2.68V ÷ 2.2kΩ。v2.1.1 の 1.06mA と同等。接点の酸化皮膜対策</t>
        </is>
      </c>
    </row>
    <row r="9" ht="26" customHeight="1">
      <c r="A9" s="37" t="inlineStr">
        <is>
          <t>EN 電圧（Q6 ON）</t>
        </is>
      </c>
      <c r="B9" s="36" t="inlineStr">
        <is>
          <t>78 mV</t>
        </is>
      </c>
      <c r="C9" s="30" t="inlineStr">
        <is>
          <t>BSS138 Rds ≒ 6Ω @ Vgs 3.3V</t>
        </is>
      </c>
      <c r="D9" s="8" t="inlineStr">
        <is>
          <t>2.95 × 6 ÷ 226。ENTHL 0.8V を十分下回る</t>
        </is>
      </c>
    </row>
    <row r="10" ht="26" customHeight="1">
      <c r="A10" s="37" t="inlineStr">
        <is>
          <t>非常停止の応答</t>
        </is>
      </c>
      <c r="B10" s="36" t="inlineStr">
        <is>
          <t>約 266 µs</t>
        </is>
      </c>
      <c r="C10" s="30" t="inlineStr">
        <is>
          <t>J4 開放、C12 100nF / R40 2.2kΩ</t>
        </is>
      </c>
      <c r="D10" s="8" t="inlineStr">
        <is>
          <t>τ = R40 2.2kΩ × C12 100nF = 220µs。2.68V から ENTHL 0.8V（最悪値）まで t = 220µs × ln(2.68/0.8) = 266µs。実測しきい値 1.38V までなら 146µs。ハードウェアで直接遮断。※ 旧記載の 22µs は C21 10nF 時代の値で、C12 100nF への変更時に更新漏れ（2026-10-09 訂正）</t>
        </is>
      </c>
    </row>
    <row r="11" ht="26" customHeight="1">
      <c r="A11" s="37" t="inlineStr">
        <is>
          <t>マイコン能動遮断</t>
        </is>
      </c>
      <c r="B11" s="36" t="inlineStr">
        <is>
          <t>約 50 µs</t>
        </is>
      </c>
      <c r="C11" s="30" t="inlineStr">
        <is>
          <t>PA5 → H、R48 220Ω / C20 100nF</t>
        </is>
      </c>
      <c r="D11" s="8" t="inlineStr">
        <is>
          <t>τ = 22µs。GPIO 突入は 15mA に制限</t>
        </is>
      </c>
    </row>
    <row r="12" ht="26" customHeight="1">
      <c r="A12" s="37" t="inlineStr">
        <is>
          <t>マイコン死亡時の遮断</t>
        </is>
      </c>
      <c r="B12" s="36" t="inlineStr">
        <is>
          <t>約 93 ms</t>
        </is>
      </c>
      <c r="C12" s="30" t="inlineStr">
        <is>
          <t>PA5 Hi-Z、R42 1MΩ / C20 100nF</t>
        </is>
      </c>
      <c r="D12" s="8" t="inlineStr">
        <is>
          <t>t = −RC·ln(1 − 2.0/3.3)。Q6 の Vgs が約 2.0V に達するまで</t>
        </is>
      </c>
    </row>
    <row r="13" ht="26" customHeight="1">
      <c r="A13" s="37" t="inlineStr">
        <is>
          <t>リセット耐性</t>
        </is>
      </c>
      <c r="B13" s="36" t="inlineStr">
        <is>
          <t>65 mV</t>
        </is>
      </c>
      <c r="C13" s="30" t="inlineStr">
        <is>
          <t>2ms のリセット中</t>
        </is>
      </c>
      <c r="D13" s="8" t="inlineStr">
        <is>
          <t>Vgs = 3.3(1 − e^(−2/100))。通電は途切れない</t>
        </is>
      </c>
    </row>
    <row r="14"/>
    <row r="15">
      <c r="A15" s="3" t="inlineStr">
        <is>
          <t>温度センス（TH1 / TH2）</t>
        </is>
      </c>
    </row>
    <row r="16" ht="28" customHeight="1">
      <c r="A16" s="4" t="inlineStr">
        <is>
          <t>温度</t>
        </is>
      </c>
      <c r="B16" s="4" t="inlineStr">
        <is>
          <t>NTC 抵抗</t>
        </is>
      </c>
      <c r="C16" s="4" t="inlineStr">
        <is>
          <t>ADC 電圧</t>
        </is>
      </c>
      <c r="D16" s="4" t="inlineStr">
        <is>
          <t>備考</t>
        </is>
      </c>
    </row>
    <row r="17" ht="18" customHeight="1">
      <c r="A17" s="37" t="inlineStr">
        <is>
          <t>25 ℃</t>
        </is>
      </c>
      <c r="B17" s="36" t="inlineStr">
        <is>
          <t>10.0 kΩ</t>
        </is>
      </c>
      <c r="C17" s="36" t="inlineStr">
        <is>
          <t>2.750 V</t>
        </is>
      </c>
      <c r="D17" s="8" t="inlineStr"/>
    </row>
    <row r="18" ht="18" customHeight="1">
      <c r="A18" s="37" t="inlineStr">
        <is>
          <t>65 ℃</t>
        </is>
      </c>
      <c r="B18" s="36" t="inlineStr">
        <is>
          <t>2.09 kΩ</t>
        </is>
      </c>
      <c r="C18" s="36" t="inlineStr">
        <is>
          <t>1.685 V</t>
        </is>
      </c>
      <c r="D18" s="8" t="inlineStr">
        <is>
          <t>筐体内最高温度</t>
        </is>
      </c>
    </row>
    <row r="19" ht="18" customHeight="1">
      <c r="A19" s="37" t="inlineStr">
        <is>
          <t>95 ℃</t>
        </is>
      </c>
      <c r="B19" s="36" t="inlineStr">
        <is>
          <t>809 Ω</t>
        </is>
      </c>
      <c r="C19" s="36" t="inlineStr">
        <is>
          <t>0.950 V</t>
        </is>
      </c>
      <c r="D19" s="8" t="inlineStr">
        <is>
          <t>遮断点の暫定値。感度 19mV/℃ ≒ 23LSB/℃</t>
        </is>
      </c>
    </row>
    <row r="20" ht="18" customHeight="1">
      <c r="A20" s="37" t="inlineStr">
        <is>
          <t>110 ℃</t>
        </is>
      </c>
      <c r="B20" s="36" t="inlineStr">
        <is>
          <t>578 Ω</t>
        </is>
      </c>
      <c r="C20" s="36" t="inlineStr">
        <is>
          <t>0.740 V</t>
        </is>
      </c>
      <c r="D20" s="8" t="inlineStr">
        <is>
          <t>TH2（R11 近傍）の遮断点</t>
        </is>
      </c>
    </row>
    <row r="21" ht="18" customHeight="1">
      <c r="A21" s="37" t="inlineStr">
        <is>
          <t>120 ℃</t>
        </is>
      </c>
      <c r="B21" s="36" t="inlineStr">
        <is>
          <t>409 Ω</t>
        </is>
      </c>
      <c r="C21" s="36" t="inlineStr">
        <is>
          <t>0.560 V</t>
        </is>
      </c>
      <c r="D21" s="8" t="inlineStr"/>
    </row>
    <row r="22" ht="18" customHeight="1">
      <c r="A22" s="37" t="inlineStr">
        <is>
          <t>150 ℃</t>
        </is>
      </c>
      <c r="B22" s="36" t="inlineStr">
        <is>
          <t>201 Ω</t>
        </is>
      </c>
      <c r="C22" s="36" t="inlineStr">
        <is>
          <t>0.301 V</t>
        </is>
      </c>
      <c r="D22" s="8" t="inlineStr"/>
    </row>
    <row r="23"/>
    <row r="24" ht="28" customHeight="1">
      <c r="A24" s="2" t="inlineStr">
        <is>
          <t>※ 分圧の上側（R30 / R31 = 2.0kΩ）を GPIO（PA7）で駆動するため、ADC 基準（VDDA）と分圧元が同一になり、レギュレータの誤差が相殺されます（レシオメトリック測定）。精度は NTC の J ランク ±5% と抵抗の 1% だけで決まります。</t>
        </is>
      </c>
    </row>
    <row r="25" ht="28" customHeight="1">
      <c r="A25" s="2" t="inlineStr">
        <is>
          <t>※ 待機時は PA7 を Low にして 275µA を切ります。サンプリング中のみ通電（デューティ約1%）。</t>
        </is>
      </c>
    </row>
    <row r="26" ht="28" customHeight="1">
      <c r="A26" s="2" t="inlineStr">
        <is>
          <t>※ 故障検出：断線 → 3.3V（ADC &gt; 4040、約 −30℃ 相当）／短絡 → 0V（ADC &lt; 190、約 178℃ 相当）。どちらも遮断側に倒れます。</t>
        </is>
      </c>
    </row>
    <row r="27"/>
    <row r="28">
      <c r="A28" s="3" t="inlineStr">
        <is>
          <t>3.3V 電源（LMR16006XDDCR）</t>
        </is>
      </c>
    </row>
    <row r="29" ht="28" customHeight="1">
      <c r="A29" s="4" t="inlineStr">
        <is>
          <t>項目</t>
        </is>
      </c>
      <c r="B29" s="4" t="inlineStr">
        <is>
          <t>値</t>
        </is>
      </c>
      <c r="C29" s="4" t="inlineStr">
        <is>
          <t>条件</t>
        </is>
      </c>
      <c r="D29" s="4" t="inlineStr">
        <is>
          <t>根拠・計算</t>
        </is>
      </c>
    </row>
    <row r="30" ht="22" customHeight="1">
      <c r="A30" s="37" t="inlineStr">
        <is>
          <t>出力電圧</t>
        </is>
      </c>
      <c r="B30" s="36" t="inlineStr">
        <is>
          <t>3.307 V</t>
        </is>
      </c>
      <c r="C30" s="30" t="inlineStr">
        <is>
          <t>R44 100kΩ / R45 30.1kΩ</t>
        </is>
      </c>
      <c r="D30" s="8" t="inlineStr">
        <is>
          <t>0.765 × (1 + 100/30.1)</t>
        </is>
      </c>
    </row>
    <row r="31" ht="22" customHeight="1">
      <c r="A31" s="37" t="inlineStr">
        <is>
          <t>デューティ</t>
        </is>
      </c>
      <c r="B31" s="36" t="inlineStr">
        <is>
          <t>11.25 %</t>
        </is>
      </c>
      <c r="C31" s="30" t="inlineStr">
        <is>
          <t>VBUS 29.4V</t>
        </is>
      </c>
      <c r="D31" s="8" t="inlineStr">
        <is>
          <t>3.307 ÷ 29.4</t>
        </is>
      </c>
    </row>
    <row r="32" ht="22" customHeight="1">
      <c r="A32" s="37" t="inlineStr">
        <is>
          <t>最小 ON 時間</t>
        </is>
      </c>
      <c r="B32" s="36" t="inlineStr">
        <is>
          <t>161 ns</t>
        </is>
      </c>
      <c r="C32" s="30" t="inlineStr">
        <is>
          <t>0.7MHz</t>
        </is>
      </c>
      <c r="D32" s="8" t="inlineStr">
        <is>
          <t>規格 80ns に対し 2 倍。Y 版（2.1MHz）だと 54ns で不足</t>
        </is>
      </c>
    </row>
    <row r="33" ht="22" customHeight="1">
      <c r="A33" s="37" t="inlineStr">
        <is>
          <t>インダクタ電流リップル</t>
        </is>
      </c>
      <c r="B33" s="36" t="inlineStr">
        <is>
          <t>127 mA</t>
        </is>
      </c>
      <c r="C33" s="30" t="inlineStr">
        <is>
          <t>L2 33µH</t>
        </is>
      </c>
      <c r="D33" s="8" t="inlineStr">
        <is>
          <t>Vout(1−D) ÷ (L·f)</t>
        </is>
      </c>
    </row>
    <row r="34" ht="22" customHeight="1">
      <c r="A34" s="37" t="inlineStr">
        <is>
          <t>出力リップル</t>
        </is>
      </c>
      <c r="B34" s="36" t="inlineStr">
        <is>
          <t>1.0 mV</t>
        </is>
      </c>
      <c r="C34" s="30" t="inlineStr">
        <is>
          <t>C30 22µF</t>
        </is>
      </c>
      <c r="D34" s="8" t="inlineStr">
        <is>
          <t>ΔIL ÷ (8·f·C)</t>
        </is>
      </c>
    </row>
    <row r="35" ht="22" customHeight="1">
      <c r="A35" s="37" t="inlineStr">
        <is>
          <t>FB 分圧電流</t>
        </is>
      </c>
      <c r="B35" s="36" t="inlineStr">
        <is>
          <t>25.4 µA</t>
        </is>
      </c>
      <c r="C35" s="30" t="inlineStr"/>
      <c r="D35" s="8" t="inlineStr">
        <is>
          <t>0.765V ÷ 30.1kΩ</t>
        </is>
      </c>
    </row>
    <row r="36" ht="22" customHeight="1">
      <c r="A36" s="37" t="inlineStr">
        <is>
          <t>負荷（動作時）</t>
        </is>
      </c>
      <c r="B36" s="36" t="inlineStr">
        <is>
          <t>約 6.1 mA</t>
        </is>
      </c>
      <c r="C36" s="30" t="inlineStr">
        <is>
          <t>MCU 2mA + LED 2.8mA + EN ループ 1.22mA</t>
        </is>
      </c>
      <c r="D36" s="8" t="inlineStr">
        <is>
          <t>0.6A 定格に対し十分</t>
        </is>
      </c>
    </row>
    <row r="37"/>
    <row r="38">
      <c r="A38" s="3" t="inlineStr">
        <is>
          <t>待機電流（VBUS 29.4V、J4 開放、マイコン STOP）</t>
        </is>
      </c>
    </row>
    <row r="39" ht="28" customHeight="1">
      <c r="A39" s="4" t="inlineStr">
        <is>
          <t>項目</t>
        </is>
      </c>
      <c r="B39" s="4" t="inlineStr">
        <is>
          <t>電流</t>
        </is>
      </c>
      <c r="C39" s="4" t="inlineStr">
        <is>
          <t>区分</t>
        </is>
      </c>
      <c r="D39" s="4" t="inlineStr">
        <is>
          <t>備考</t>
        </is>
      </c>
    </row>
    <row r="40" ht="20" customHeight="1">
      <c r="A40" s="17" t="inlineStr">
        <is>
          <t>UVLO / OVP 分圧（R2+R3+R4 = 219kΩ）</t>
        </is>
      </c>
      <c r="B40" s="36" t="inlineStr">
        <is>
          <t>134 µA</t>
        </is>
      </c>
      <c r="C40" s="30" t="inlineStr">
        <is>
          <t>既存</t>
        </is>
      </c>
      <c r="D40" s="8" t="inlineStr">
        <is>
          <t>最大寄与。削るならここが先</t>
        </is>
      </c>
    </row>
    <row r="41" ht="20" customHeight="1">
      <c r="A41" s="17" t="inlineStr">
        <is>
          <t>LMR16006 ECO モード</t>
        </is>
      </c>
      <c r="B41" s="36" t="inlineStr">
        <is>
          <t>28 µA</t>
        </is>
      </c>
      <c r="C41" s="30" t="inlineStr">
        <is>
          <t>新規</t>
        </is>
      </c>
      <c r="D41" s="8" t="inlineStr"/>
    </row>
    <row r="42" ht="20" customHeight="1">
      <c r="A42" s="17" t="inlineStr">
        <is>
          <t>VBUS センス分圧（1.1MΩ）</t>
        </is>
      </c>
      <c r="B42" s="36" t="inlineStr">
        <is>
          <t>27 µA</t>
        </is>
      </c>
      <c r="C42" s="30" t="inlineStr">
        <is>
          <t>新規</t>
        </is>
      </c>
      <c r="D42" s="8" t="inlineStr"/>
    </row>
    <row r="43" ht="20" customHeight="1">
      <c r="A43" s="17" t="inlineStr">
        <is>
          <t>LM5060（EN Low）</t>
        </is>
      </c>
      <c r="B43" s="36" t="inlineStr">
        <is>
          <t>9 µA</t>
        </is>
      </c>
      <c r="C43" s="30" t="inlineStr">
        <is>
          <t>既存</t>
        </is>
      </c>
      <c r="D43" s="8" t="inlineStr"/>
    </row>
    <row r="44" ht="20" customHeight="1">
      <c r="A44" s="17" t="inlineStr">
        <is>
          <t>3.3V 負荷の反射分</t>
        </is>
      </c>
      <c r="B44" s="36" t="inlineStr">
        <is>
          <t>5 µA</t>
        </is>
      </c>
      <c r="C44" s="30" t="inlineStr">
        <is>
          <t>新規</t>
        </is>
      </c>
      <c r="D44" s="8" t="inlineStr">
        <is>
          <t>MCU STOP 3µA + FB 25µA + R42 3.3µA を 29.4V 換算</t>
        </is>
      </c>
    </row>
    <row r="45" ht="20" customHeight="1">
      <c r="A45" s="17" t="inlineStr">
        <is>
          <t>Vout / CHOP センス、NTC 分圧</t>
        </is>
      </c>
      <c r="B45" s="36" t="inlineStr">
        <is>
          <t>0 µA</t>
        </is>
      </c>
      <c r="C45" s="30" t="inlineStr">
        <is>
          <t>新規</t>
        </is>
      </c>
      <c r="D45" s="8" t="inlineStr">
        <is>
          <t>Vout = 0、PA7 = Low のため</t>
        </is>
      </c>
    </row>
    <row r="46" ht="20" customHeight="1">
      <c r="A46" s="17" t="inlineStr">
        <is>
          <t>合計</t>
        </is>
      </c>
      <c r="B46" s="36" t="inlineStr">
        <is>
          <t>203 µA</t>
        </is>
      </c>
      <c r="C46" s="30" t="inlineStr"/>
      <c r="D46" s="8" t="inlineStr">
        <is>
          <t>6ヶ月で 889mAh ≒ 12Ah パックの 7.4%。v2.1.1 比 +60µA</t>
        </is>
      </c>
    </row>
    <row r="47"/>
    <row r="48">
      <c r="A48" s="3" t="inlineStr">
        <is>
          <t>TIMER 容量を 0.48µF 据え置きとする根拠</t>
        </is>
      </c>
    </row>
    <row r="49" ht="28" customHeight="1">
      <c r="A49" s="4" t="inlineStr">
        <is>
          <t>項目</t>
        </is>
      </c>
      <c r="B49" s="4" t="inlineStr">
        <is>
          <t>C = 0.48µF（採用）</t>
        </is>
      </c>
      <c r="C49" s="4" t="inlineStr">
        <is>
          <t>C = 0.66µF（不採用）</t>
        </is>
      </c>
      <c r="D49" s="4" t="inlineStr">
        <is>
          <t>備考</t>
        </is>
      </c>
    </row>
    <row r="50" ht="28" customHeight="1">
      <c r="A50" s="37" t="inlineStr">
        <is>
          <t>起動タイムアウト（最悪条件）</t>
        </is>
      </c>
      <c r="B50" s="36" t="inlineStr">
        <is>
          <t>123 ms</t>
        </is>
      </c>
      <c r="C50" s="36" t="inlineStr">
        <is>
          <t>170 ms</t>
        </is>
      </c>
      <c r="D50" s="8" t="inlineStr">
        <is>
          <t>C −10%、I_TIMERL max 7µA</t>
        </is>
      </c>
    </row>
    <row r="51" ht="28" customHeight="1">
      <c r="A51" s="37" t="inlineStr">
        <is>
          <t>Vout 立ち上がり（最悪条件）</t>
        </is>
      </c>
      <c r="B51" s="36" t="inlineStr">
        <is>
          <t>94 ms</t>
        </is>
      </c>
      <c r="C51" s="36" t="inlineStr">
        <is>
          <t>94 ms</t>
        </is>
      </c>
      <c r="D51" s="8" t="inlineStr">
        <is>
          <t>I_gate 17µA / C_gate 50nF、VBUS 29.4V ＋ VGS が 5V に達するまで 7.4ms</t>
        </is>
      </c>
    </row>
    <row r="52" ht="28" customHeight="1">
      <c r="A52" s="37" t="inlineStr">
        <is>
          <t>起動の余裕</t>
        </is>
      </c>
      <c r="B52" s="36" t="inlineStr">
        <is>
          <t>1.31 倍</t>
        </is>
      </c>
      <c r="C52" s="36" t="inlineStr">
        <is>
          <t>1.81 倍</t>
        </is>
      </c>
      <c r="D52" s="8" t="inlineStr">
        <is>
          <t>起動失敗は「電源が入らない」だけで部品被害はない</t>
        </is>
      </c>
    </row>
    <row r="53" ht="28" customHeight="1">
      <c r="A53" s="37" t="inlineStr">
        <is>
          <t>短絡時の遮断（最悪条件）</t>
        </is>
      </c>
      <c r="B53" s="36" t="inlineStr">
        <is>
          <t>106 ms</t>
        </is>
      </c>
      <c r="C53" s="36" t="inlineStr">
        <is>
          <t>145 ms</t>
        </is>
      </c>
      <c r="D53" s="8" t="inlineStr">
        <is>
          <t>(2.0 − 0.3)V × C ÷ I_TIMERH min 8.5µA。この遅さで Q3 が破壊された</t>
        </is>
      </c>
    </row>
    <row r="54" ht="278.5" customHeight="1">
      <c r="A54" s="2" t="inlineStr">
        <is>
          <t>※ 2026-10-08、①の試験中に通電状態の MDDS30 で VB+ − VB− を短絡させ、Q3 がドレイン−ソース間短絡で破壊された。LM5060 の VDS 保護は TIMER が 2.0V に達するまでゲートを落とさないため、74〜106ms のあいだ Q3 が短絡電流を流し続ける。4A 制限の電源でも 29V × 4A × 74ms = 8.6J で、CSD18540Q5B の SOA の際どいところ。なお v3.0.0 では Q1〜Q3 を BSC028N06NS（EAS 100mJ @ 50A、Tj 150℃、RθJC 0.9K/W typ）に変更したが、この事象に対する備えは素子の SOA ではなく R51 / D12（ゲート保護）とファームウェア #13（2ms 遮断）である。</t>
        </is>
      </c>
    </row>
    <row r="55" ht="34" customHeight="1">
      <c r="A55" s="2" t="inlineStr">
        <is>
          <t>※ ゲートのスルーレート用 44nF を減らせば起動は速くなり TIMER を小さくできるが、突入電流が 2.8A となり基準 2.4A を超えるため不可。ハードウェアでこれ以上速くできないので、マイコン側で高速検出する（6_ファームウェア仕様 #13）。</t>
        </is>
      </c>
    </row>
    <row r="56"/>
    <row r="57"/>
    <row r="58" ht="28" customHeight="1">
      <c r="A58" s="3" t="inlineStr">
        <is>
          <t>Q3 のゲート保護（R51 / D12）</t>
        </is>
      </c>
    </row>
    <row r="59" ht="28" customHeight="1">
      <c r="A59" s="4" t="inlineStr">
        <is>
          <t>項目</t>
        </is>
      </c>
      <c r="B59" s="4" t="inlineStr">
        <is>
          <t>値</t>
        </is>
      </c>
      <c r="C59" s="4" t="inlineStr">
        <is>
          <t>条件</t>
        </is>
      </c>
      <c r="D59" s="4" t="inlineStr">
        <is>
          <t>根拠・計算</t>
        </is>
      </c>
    </row>
    <row r="60" ht="30" customHeight="1">
      <c r="A60" s="35" t="inlineStr">
        <is>
          <t>Vout の崩壊時間</t>
        </is>
      </c>
      <c r="B60" s="36" t="inlineStr">
        <is>
          <t>約 4 µs</t>
        </is>
      </c>
      <c r="C60" s="8" t="inlineStr">
        <is>
          <t>基板側 48µF（C7 + C11）とハーネス 300nH の LC</t>
        </is>
      </c>
      <c r="D60" s="8" t="inlineStr">
        <is>
          <t>(π/2)·√(LC)。基板直近での短絡なら 300ns 程度まで速くなり得る</t>
        </is>
      </c>
    </row>
    <row r="61" ht="32" customHeight="1">
      <c r="A61" s="35" t="inlineStr">
        <is>
          <t>ゲート側の容量</t>
        </is>
      </c>
      <c r="B61" s="36" t="inlineStr">
        <is>
          <t>46.7 nF</t>
        </is>
      </c>
      <c r="C61" s="8" t="inlineStr">
        <is>
          <t>C9 + C15 の 44nF ＋ Q3 の Ciss 2.7nF</t>
        </is>
      </c>
      <c r="D61" s="8" t="inlineStr"/>
    </row>
    <row r="62" ht="32" customHeight="1">
      <c r="A62" s="35" t="inlineStr">
        <is>
          <t>クランプが流すべき電流</t>
        </is>
      </c>
      <c r="B62" s="36" t="inlineStr">
        <is>
          <t>0.35 A</t>
        </is>
      </c>
      <c r="C62" s="8" t="inlineStr">
        <is>
          <t>4µs 崩壊、dVout/dt = 7.25×10⁶ V/s</t>
        </is>
      </c>
      <c r="D62" s="8" t="inlineStr">
        <is>
          <t>46.7nF × 7.25e6。300ns 崩壊なら 4.5 A</t>
        </is>
      </c>
    </row>
    <row r="63" ht="30" customHeight="1">
      <c r="A63" s="37" t="inlineStr">
        <is>
          <t>【主因】IC3 内部クランプの電流能力</t>
        </is>
      </c>
      <c r="B63" s="38" t="inlineStr">
        <is>
          <t>規定は 0.1mA 時のみ</t>
        </is>
      </c>
      <c r="C63" s="8" t="inlineStr">
        <is>
          <t>データシートは 16.8V @ I = 0.1mA しか規定していない</t>
        </is>
      </c>
      <c r="D63" s="8" t="inlineStr">
        <is>
          <t>動的抵抗 Rz を 10Ω と仮定すると 0.35A で 20.3V、30Ω なら 27.3V。Q3 の Vgs 定格 ±20V を超える</t>
        </is>
      </c>
    </row>
    <row r="64" ht="30" customHeight="1">
      <c r="A64" s="37" t="inlineStr">
        <is>
          <t>【二次要因】ループのインダクタンス</t>
        </is>
      </c>
      <c r="B64" s="36" t="inlineStr">
        <is>
          <t>+2 V / 7 ns</t>
        </is>
      </c>
      <c r="C64" s="8" t="inlineStr">
        <is>
          <t>L = 40nH（ボンディングワイヤ＋ IC3 − Q3 間パターン往復）</t>
        </is>
      </c>
      <c r="D64" s="8" t="inlineStr">
        <is>
          <t>t = L·I/ΔV = 40nH × 0.35A ÷ 2V。4µs の崩壊に対しては無視できるが、300ns 崩壊では効いてくる</t>
        </is>
      </c>
    </row>
    <row r="65" ht="32" customHeight="1">
      <c r="A65" s="35" t="inlineStr">
        <is>
          <t>R51 ありで D12 が制御する容量</t>
        </is>
      </c>
      <c r="B65" s="36" t="inlineStr">
        <is>
          <t>2.7 nF</t>
        </is>
      </c>
      <c r="C65" s="8" t="inlineStr">
        <is>
          <t>Q3 の Ciss のみ（BSC028N06NS: 2.7nF typ / 3.4nF max）</t>
        </is>
      </c>
      <c r="D65" s="8" t="inlineStr">
        <is>
          <t>R51 が C9 + C15 の 44nF をゲートから切り離す。1/11 に減る</t>
        </is>
      </c>
    </row>
    <row r="66" ht="32" customHeight="1">
      <c r="A66" s="35" t="inlineStr">
        <is>
          <t>R51 ありのクランプ電流</t>
        </is>
      </c>
      <c r="B66" s="36" t="inlineStr">
        <is>
          <t>0.58 A</t>
        </is>
      </c>
      <c r="C66" s="8" t="inlineStr">
        <is>
          <t>300ns 崩壊の最悪ケース</t>
        </is>
      </c>
      <c r="D66" s="8" t="inlineStr">
        <is>
          <t>Ciss 分 0.33A（Ciss max 3.4nF）＋ R51 経由 (41−16)÷100 = 0.25A。R51 なしの 4.5A に対し 7.8 倍の余裕</t>
        </is>
      </c>
    </row>
    <row r="67" ht="17.5" customHeight="1">
      <c r="A67" s="35" t="inlineStr">
        <is>
          <t>D12 のクランプ電圧</t>
        </is>
      </c>
      <c r="B67" s="36" t="inlineStr">
        <is>
          <t>約 17 V</t>
        </is>
      </c>
      <c r="C67" s="8" t="inlineStr">
        <is>
          <t>TVS の動的抵抗は 1Ω 未満</t>
        </is>
      </c>
      <c r="D67" s="8" t="inlineStr">
        <is>
          <t>0.33〜0.58A では Vbr のまま。Q3 の Vgs 定格 ±20V に余裕がある</t>
        </is>
      </c>
    </row>
    <row r="68" ht="30" customHeight="1">
      <c r="A68" s="35" t="inlineStr">
        <is>
          <t>通常動作時</t>
        </is>
      </c>
      <c r="B68" s="36" t="inlineStr">
        <is>
          <t>非導通</t>
        </is>
      </c>
      <c r="C68" s="8" t="inlineStr">
        <is>
          <t>Vgs 11.8V（VGATE 規格上限 14V）</t>
        </is>
      </c>
      <c r="D68" s="8" t="inlineStr">
        <is>
          <t>SMAJ15A の Vbr min 16.7V。逆方向は 0.9V で順導通し、負の Vgs も同時にクランプ</t>
        </is>
      </c>
    </row>
    <row r="69" ht="32" customHeight="1">
      <c r="A69" s="35" t="inlineStr">
        <is>
          <t>R51 の立ち上がりへの影響</t>
        </is>
      </c>
      <c r="B69" s="36" t="inlineStr">
        <is>
          <t>τ = 0.27 µs</t>
        </is>
      </c>
      <c r="C69" s="8" t="inlineStr">
        <is>
          <t>100Ω × Ciss 2.7nF</t>
        </is>
      </c>
      <c r="D69" s="8" t="inlineStr">
        <is>
          <t>立ち上がり 74ms に対し無視できる。dV/dt は 24µA ÷ 44nF のまま不変</t>
        </is>
      </c>
    </row>
    <row r="70"/>
    <row r="71" ht="46" customHeight="1">
      <c r="A71" s="11" t="inlineStr">
        <is>
          <t>※ 2026-10-08 の破壊機序：出力短絡で Vout が急落 → C9 + C15（GATE−GND 間 44nF）がゲートを 41V 付近に保持 → Vgs が定格 ±20V を超えてゲート酸化膜が貫通 → 制御を失った後に熱暴走して D−S も短絡。TP5 − TP10 導通 / TP5 − TP2 非導通 / Q1・Q2 無傷、で確定。同じ容量放電電流を通った Q1・Q2 が無傷だったことが決め手で、ゲート−GND 間に大容量を持つのは Q3 だけ（Q1 / Q2 は LM74610 がゲート−ソース間を直接駆動）。</t>
        </is>
      </c>
    </row>
    <row r="72" ht="34" customHeight="1">
      <c r="A72" s="11" t="inlineStr">
        <is>
          <t>※【訂正】当初はループのインダクタンスを主因として説明しましたが、数値を詰めると二次要因でした。4µs の崩壊に必要な 0.35A を 40nH 越しに立ち上げるのに要する時間は 7ns で、崩壊時間に対して 3 桁小さい。支配的なのは IC3 内部クランプの電流能力のほうです。</t>
        </is>
      </c>
    </row>
    <row r="73" ht="162.5" customHeight="1">
      <c r="A73" s="2" t="inlineStr">
        <is>
          <t>※ ただし D12 を Q3 の足元に置く指示は変わりません。遠くに置くと D12 自身が「Rz 1Ω だが L 40nH 越し」のクランプになり、速い崩壊（300ns 級、必要電流 0.58A）で同じ問題が再発します。ΔV 2V で 14ns かかり、300ns に対して無視できなくなります。どちらの短絡が起きるかは選べないので、最悪側で設計します。</t>
        </is>
      </c>
    </row>
    <row r="74" ht="30" customHeight="1">
      <c r="A74" s="2" t="inlineStr">
        <is>
          <t>※ IC3 内部クランプの Rz の実際値は TI が公表していないため、上表の 10Ω / 30Ω は推定です。ただし「0.1mA でしか規定されていない」こと自体が、大電流のシンクを想定していない設計であることを示しています。</t>
        </is>
      </c>
    </row>
  </sheetData>
  <mergeCells count="9">
    <mergeCell ref="A74:D74"/>
    <mergeCell ref="A26:D26"/>
    <mergeCell ref="A54:D54"/>
    <mergeCell ref="A72:D72"/>
    <mergeCell ref="A55:D55"/>
    <mergeCell ref="A25:D25"/>
    <mergeCell ref="A24:D24"/>
    <mergeCell ref="A71:D71"/>
    <mergeCell ref="A73:D73"/>
  </mergeCells>
  <printOptions horizontalCentered="0"/>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D34"/>
  <sheetViews>
    <sheetView workbookViewId="0">
      <pane ySplit="4" topLeftCell="A5" activePane="bottomLeft" state="frozen"/>
      <selection pane="bottomLeft" activeCell="A1" sqref="A1"/>
    </sheetView>
  </sheetViews>
  <sheetFormatPr baseColWidth="8" defaultRowHeight="15"/>
  <cols>
    <col width="8" customWidth="1" min="1" max="1"/>
    <col width="34" customWidth="1" min="2" max="2"/>
    <col width="40" customWidth="1" min="3" max="3"/>
    <col width="46" customWidth="1" min="4" max="4"/>
  </cols>
  <sheetData>
    <row r="1">
      <c r="A1" s="1" t="inlineStr">
        <is>
          <t>保護ロジック仕様</t>
        </is>
      </c>
    </row>
    <row r="2" ht="28" customHeight="1">
      <c r="A2" s="2" t="inlineStr">
        <is>
          <t>v2.3 のファームウェアが満たすべき動作。閾値の確定値は「9_未確定事項」参照。</t>
        </is>
      </c>
    </row>
    <row r="3"/>
    <row r="4" ht="28" customHeight="1">
      <c r="A4" s="4" t="inlineStr">
        <is>
          <t>#</t>
        </is>
      </c>
      <c r="B4" s="4" t="inlineStr">
        <is>
          <t>条件</t>
        </is>
      </c>
      <c r="C4" s="4" t="inlineStr">
        <is>
          <t>動作</t>
        </is>
      </c>
      <c r="D4" s="4" t="inlineStr">
        <is>
          <t>備考</t>
        </is>
      </c>
    </row>
    <row r="5" ht="36" customHeight="1">
      <c r="A5" s="35" t="n">
        <v>1</v>
      </c>
      <c r="B5" s="7" t="inlineStr">
        <is>
          <t>起動時</t>
        </is>
      </c>
      <c r="C5" s="8" t="inlineStr">
        <is>
          <t>PA5 = H（遮断）で開始。ADC 校正 → TH1 / TH2 / VBUS を読み、全て正常なら PA5 = L</t>
        </is>
      </c>
      <c r="D5" s="8" t="inlineStr">
        <is>
          <t>未書込みチップは GPIO が Hi-Z のまま → 通電しない。これが正しい初期状態</t>
        </is>
      </c>
    </row>
    <row r="6" ht="36" customHeight="1">
      <c r="A6" s="35" t="n">
        <v>2</v>
      </c>
      <c r="B6" s="7" t="inlineStr">
        <is>
          <t>50ms 周期（SLEEP + TIM 復帰）</t>
        </is>
      </c>
      <c r="C6" s="8" t="inlineStr">
        <is>
          <t>PA7 = H → 0.5ms 待ち → TH1 / TH2 を 16 回オーバーサンプル → PA7 = L</t>
        </is>
      </c>
      <c r="D6" s="8" t="inlineStr">
        <is>
          <t>レシオメトリック測定</t>
        </is>
      </c>
    </row>
    <row r="7" ht="36" customHeight="1">
      <c r="A7" s="35" t="n">
        <v>3</v>
      </c>
      <c r="B7" s="7" t="inlineStr">
        <is>
          <t>TH1 ≥ T_trip が 3 回連続</t>
        </is>
      </c>
      <c r="C7" s="8" t="inlineStr">
        <is>
          <t>PA5 = H。10 秒ラッチ後、T_trip − 15℃ 以下なら復帰</t>
        </is>
      </c>
      <c r="D7" s="8" t="inlineStr">
        <is>
          <t>暫定 T_trip = 95℃</t>
        </is>
      </c>
    </row>
    <row r="8" ht="36" customHeight="1">
      <c r="A8" s="35" t="n">
        <v>4</v>
      </c>
      <c r="B8" s="7" t="inlineStr">
        <is>
          <t>TH1 ≥ T_hard が 1 回</t>
        </is>
      </c>
      <c r="C8" s="8" t="inlineStr">
        <is>
          <t>即 PA5 = H（判定遅延なし）</t>
        </is>
      </c>
      <c r="D8" s="8" t="inlineStr">
        <is>
          <t>暫定 T_hard = 115℃</t>
        </is>
      </c>
    </row>
    <row r="9" ht="36" customHeight="1">
      <c r="A9" s="35" t="n">
        <v>5</v>
      </c>
      <c r="B9" s="7" t="inlineStr">
        <is>
          <t>TH2 ≥ 110℃</t>
        </is>
      </c>
      <c r="C9" s="8" t="inlineStr">
        <is>
          <t>PA5 = H</t>
        </is>
      </c>
      <c r="D9" s="8" t="inlineStr">
        <is>
          <t>R11 の過熱保護。PPTC 撤去の代替</t>
        </is>
      </c>
    </row>
    <row r="10" ht="36" customHeight="1">
      <c r="A10" s="35" t="n">
        <v>6</v>
      </c>
      <c r="B10" s="7" t="inlineStr">
        <is>
          <t>直近 10 秒のチョッパ ON 積算 &gt; 閾値</t>
        </is>
      </c>
      <c r="C10" s="8" t="inlineStr">
        <is>
          <t>PA5 = H</t>
        </is>
      </c>
      <c r="D10" s="8" t="inlineStr">
        <is>
          <t>CHOP_SENSE を 1kHz でサンプル。R11 の熱モデル保護</t>
        </is>
      </c>
    </row>
    <row r="11" ht="36" customHeight="1">
      <c r="A11" s="35" t="n">
        <v>7</v>
      </c>
      <c r="B11" s="7" t="inlineStr">
        <is>
          <t>センサ異常が 5 回連続</t>
        </is>
      </c>
      <c r="C11" s="8" t="inlineStr">
        <is>
          <t>PA5 = H、ラッチ（J4 の再投入で解除）</t>
        </is>
      </c>
      <c r="D11" s="8" t="inlineStr">
        <is>
          <t>ADC &gt; 4040 または &lt; 190</t>
        </is>
      </c>
    </row>
    <row r="12" ht="36" customHeight="1">
      <c r="A12" s="35" t="n">
        <v>8</v>
      </c>
      <c r="B12" s="7" t="inlineStr">
        <is>
          <t>PA5 = L なのに 100ms 後 Vout &lt; 0.8 × VBUS</t>
        </is>
      </c>
      <c r="C12" s="8" t="inlineStr">
        <is>
          <t>PA5 = H、ラッチ</t>
        </is>
      </c>
      <c r="D12" s="8" t="inlineStr">
        <is>
          <t>Q3 または IC3 の異常</t>
        </is>
      </c>
    </row>
    <row r="13" ht="36" customHeight="1">
      <c r="A13" s="35" t="n">
        <v>9</v>
      </c>
      <c r="B13" s="7" t="inlineStr">
        <is>
          <t>VBUS &lt; 21.0V（3.0V/セル）</t>
        </is>
      </c>
      <c r="C13" s="8" t="inlineStr">
        <is>
          <t>LED3 低速点滅</t>
        </is>
      </c>
      <c r="D13" s="8" t="inlineStr">
        <is>
          <t>遮断は IC3 の UVLO に任せる</t>
        </is>
      </c>
    </row>
    <row r="14" ht="36" customHeight="1">
      <c r="A14" s="35" t="n">
        <v>10</v>
      </c>
      <c r="B14" s="7" t="inlineStr">
        <is>
          <t>IWDG 500ms で常時有効</t>
        </is>
      </c>
      <c r="C14" s="8" t="inlineStr">
        <is>
          <t>—</t>
        </is>
      </c>
      <c r="D14" s="8" t="inlineStr">
        <is>
          <t>リセットしても C20 により通電は途切れない</t>
        </is>
      </c>
    </row>
    <row r="15" ht="36" customHeight="1">
      <c r="A15" s="35" t="n">
        <v>11</v>
      </c>
      <c r="B15" s="7" t="inlineStr">
        <is>
          <t>IWDG リセットが 3 回連続</t>
        </is>
      </c>
      <c r="C15" s="8" t="inlineStr">
        <is>
          <t>PA5 = H、完全ラッチ</t>
        </is>
      </c>
      <c r="D15" s="8" t="inlineStr">
        <is>
          <t>RCC のリセットフラグを数える。ハング→リセットのループで保護が効かなくなる唯一の抜け道を塞ぐ</t>
        </is>
      </c>
    </row>
    <row r="16" ht="36" customHeight="1">
      <c r="A16" s="35" t="n">
        <v>12</v>
      </c>
      <c r="B16" s="7" t="inlineStr">
        <is>
          <t>PA8 が Low のまま 100ms 超（PA5 = L 時）</t>
        </is>
      </c>
      <c r="C16" s="8" t="inlineStr">
        <is>
          <t>STOP モードへ。PA8 の EXTI 立ち上がりで復帰</t>
        </is>
      </c>
      <c r="D16" s="8" t="inlineStr">
        <is>
          <t>J4 開放＝待機。STOP 中も GPIO の状態は保持される</t>
        </is>
      </c>
    </row>
    <row r="17" ht="48" customHeight="1">
      <c r="A17" s="35" t="n">
        <v>13</v>
      </c>
      <c r="B17" s="7" t="inlineStr">
        <is>
          <t>起動完了後、Vout &lt; 0.5 × VBUS が 2 回連続（1kHz サンプリング）</t>
        </is>
      </c>
      <c r="C17" s="8" t="inlineStr">
        <is>
          <t>即 PA5 = H。ラッチし、J4 の再投入で解除</t>
        </is>
      </c>
      <c r="D17" s="21" t="inlineStr">
        <is>
          <t>出力短絡の高速検出。応答 2ms。対象は「電流制限された電源での持続的な短絡」「配線の半短絡」。コンデンサ放電による µs オーダーの事象（2026-10-08 の Q3 破壊）には間に合わないので、そちらは R51 / D12 のハードウェアで対策する。Vout ≥ 0.9 × VBUS を一度満たすまでは armed にしない</t>
        </is>
      </c>
    </row>
    <row r="18" ht="40" customHeight="1"/>
    <row r="19" ht="40" customHeight="1">
      <c r="A19" s="2" t="inlineStr">
        <is>
          <t>※ #11 が重要です。C20 によるライドスルーがあるため、ハングして IWDG リセットを繰り返すと出力が切れません。リセット要因を数えて 3 回でラッチすることで塞ぎます。</t>
        </is>
      </c>
    </row>
    <row r="20" ht="40" customHeight="1">
      <c r="A20" s="2" t="inlineStr">
        <is>
          <t>※ #12 の STOP 中も PA5 は Low（運転許可）のまま保持されます。J4 を閉じると EN が即座に立ち上がって通電し、同時に EXTI でマイコンが復帰して数 ms 以内に TH1 を確認します。基板が冷えている状態からの起動なので問題ありません。</t>
        </is>
      </c>
    </row>
    <row r="21">
      <c r="A21" s="2" t="inlineStr">
        <is>
          <t>※ 独立したハードウェアのサーマルバックストップは v2.3 では見送りました。チョッパ用 12V は Vout から R10 3.3kΩ + D9 で生成されており Vout 依存のため、12V 駆動の比較器で EN を引くと「遮断 → 12V 喪失 → 解除 → 再投入」のハンチングになり保護になりません。3.3V 駆動の独立比較器なら成立しますが、低 Iq オープンドレイン品の LCSC 在庫が不確実なため、#5 / #6 / #11 で代替します。</t>
        </is>
      </c>
    </row>
    <row r="22"/>
    <row r="23" ht="34" customHeight="1">
      <c r="A23" s="11" t="inlineStr">
        <is>
          <t>※ #13 は 2026-10-08 の Q3 破壊事故を受けて追加。これにより Q3 に入るエネルギーが 8.6J から 0.23J に下がる。VOUT_SENSE の C34 を 1nF にすること（100nF では分圧の時定数 9.1ms が検出 2ms に間に合わない）。</t>
        </is>
      </c>
    </row>
    <row r="24"/>
    <row r="25">
      <c r="A25" s="40" t="inlineStr">
        <is>
          <t>デバッグ時の注意（SWD 接続中）</t>
        </is>
      </c>
    </row>
    <row r="26">
      <c r="A26" s="11" t="inlineStr">
        <is>
          <t>★ ブレークポイントで止めると保護だけが止まります。コアが halt しても GPIO の出力レジスタは保持されるため PA5 は Low（運転）のままで、出力は生きたまま #2〜#5 のサーマル監視ループだけが停止します。MDDS30 を外すか、電流制限付き電源で行ってください。モータを繋いだまま長時間ブレークしないこと。</t>
        </is>
      </c>
    </row>
    <row r="27">
      <c r="A27" s="11" t="inlineStr">
        <is>
          <t>★ IWDG はデバッグ中フリーズさせること。既定では halt 中も走るため、ブレークポイントで止めた瞬間にウォッチドッグリセットがかかります。DBGMCU_APB_FZR1 の DBG_IWDG_STOP を立ててください。</t>
        </is>
      </c>
    </row>
    <row r="28">
      <c r="A28" s="41" t="inlineStr">
        <is>
          <t>■ #11（IWDG リセットループを 3 回でラッチ）はデバッグ中に誤発火します。デバッグビルドでは #11 を無効にするか、リセット要因を見てデバッガ接続時は数えない作りにしてください。</t>
        </is>
      </c>
    </row>
    <row r="29">
      <c r="A29" s="2" t="inlineStr">
        <is>
          <t>■ ST-LINK の 3.3V はケーブルで使い分けます。J6 pin1 は +3V3 レール直結です。純正 ST-LINK V2 / V3 の VDD_TARGET は入力専用ですが、互換品の多くは USB 5V から作った 3.3V を出力しており、ソフト的に止める手段がありません。</t>
        </is>
      </c>
    </row>
    <row r="30">
      <c r="A30" s="2" t="inlineStr">
        <is>
          <t xml:space="preserve">　・4 線ケーブル（SWDIO / SWCLK / NRST / GND）＝ 基板が給電するとき。通常はこちら。　・5 線ケーブル（＋3V3）＝ バッテリを繋がずデバッガだけで IC6 を動かすとき。VBUS がないので Q6 も EN も動かず、ファームのロジックだけを安全にデバッグできます。</t>
        </is>
      </c>
    </row>
    <row r="31">
      <c r="A31" s="2" t="inlineStr">
        <is>
          <t xml:space="preserve">　・手持ちのデバッガがどちらかは、PC に挿して基板に何も繋がない状態で pin1 相当の端子と GND 間の電圧を測れば分かります（3.3V = 出力型、0V = 入力型）。</t>
        </is>
      </c>
    </row>
    <row r="32">
      <c r="A32" s="11" t="inlineStr">
        <is>
          <t>★ 互換 ST-LINK には 3.3V の隣に 5V が出ているものがあります。コネクタを 1 ピンずらして挿すと 3.3V レールに 5V が入り IC6 が破壊されます。J6 の pin1 をシルクで明示すること。</t>
        </is>
      </c>
    </row>
    <row r="33">
      <c r="A33" s="41" t="inlineStr">
        <is>
          <t>■ SWO / ITM は使えません。Cortex-M0+ にトレース機能がないためで、STM32C0 に限った話ではありません。printf-over-SWO は最初から選択肢にないので、代替を前提に作ってください。</t>
        </is>
      </c>
    </row>
    <row r="34">
      <c r="A34" s="2" t="inlineStr">
        <is>
          <t xml:space="preserve">　(1) RAM リングバッファ — ピンを使わず、デバッガでメモリを読む。CubeIDE の Live Expressions なら実行中でも周期的に読めます。本基板には一番向いています。　(2) UART — v2.3 では J5 に何も繋がないので PB6 / PB7（J5 pin3 / pin4）が空いています。USART1 が割り当てられるかデータシートの Alternate function 表で確認してください。　(3) GPIO トグル＋オシロ — PC14 / PC15（TP29 / TP30）で区間の実行時間を測る。　※ USART2 は PA13 / PA14（SWD と共用）なので選ばないこと。</t>
        </is>
      </c>
    </row>
  </sheetData>
  <mergeCells count="14">
    <mergeCell ref="A23:D23"/>
    <mergeCell ref="A18:D18"/>
    <mergeCell ref="A27:D27"/>
    <mergeCell ref="A31:D31"/>
    <mergeCell ref="A34:D34"/>
    <mergeCell ref="A20:D20"/>
    <mergeCell ref="A26:D26"/>
    <mergeCell ref="A30:D30"/>
    <mergeCell ref="A29:D29"/>
    <mergeCell ref="A25:D25"/>
    <mergeCell ref="A19:D19"/>
    <mergeCell ref="A33:D33"/>
    <mergeCell ref="A28:D28"/>
    <mergeCell ref="A32:D32"/>
  </mergeCells>
  <printOptions horizontalCentered="0"/>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C94"/>
  <sheetViews>
    <sheetView workbookViewId="0">
      <pane ySplit="4" topLeftCell="A5" activePane="bottomLeft" state="frozen"/>
      <selection pane="bottomLeft" activeCell="A1" sqref="A1"/>
    </sheetView>
  </sheetViews>
  <sheetFormatPr baseColWidth="8" defaultRowHeight="15"/>
  <cols>
    <col width="24" customWidth="1" min="1" max="1"/>
    <col width="70" customWidth="1" min="2" max="2"/>
    <col width="40" customWidth="1" min="3" max="3"/>
  </cols>
  <sheetData>
    <row r="1">
      <c r="A1" s="1" t="inlineStr">
        <is>
          <t>レイアウト上の注意</t>
        </is>
      </c>
    </row>
    <row r="2" ht="28" customHeight="1">
      <c r="A2" s="2" t="inlineStr">
        <is>
          <t>v2.1.1 の基板に追加する際の配置・配線指示。</t>
        </is>
      </c>
    </row>
    <row r="3"/>
    <row r="4" ht="28" customHeight="1">
      <c r="A4" s="4" t="inlineStr">
        <is>
          <t>対象</t>
        </is>
      </c>
      <c r="B4" s="4" t="inlineStr">
        <is>
          <t>指示</t>
        </is>
      </c>
      <c r="C4" s="4" t="inlineStr">
        <is>
          <t>理由</t>
        </is>
      </c>
    </row>
    <row r="5" ht="36" customHeight="1">
      <c r="A5" s="37" t="inlineStr">
        <is>
          <t>IC6（マイコン）</t>
        </is>
      </c>
      <c r="B5" s="7" t="inlineStr">
        <is>
          <t>Q1 / Q2 / Q3 および R11 から最も遠い位置に配置する。できれば基板の反対端</t>
        </is>
      </c>
      <c r="C5" s="8" t="inlineStr">
        <is>
          <t>動作温度 −40〜+85℃。筐体内 65℃ ＋ 自己発熱で余裕が少ない</t>
        </is>
      </c>
    </row>
    <row r="6" ht="36" customHeight="1">
      <c r="A6" s="37" t="inlineStr">
        <is>
          <t>TH1</t>
        </is>
      </c>
      <c r="B6" s="7" t="inlineStr">
        <is>
          <t>v2.1.1 の配置をそのまま維持する。Q3 のドレインパッドと Q1 / Q2 のドレインパッドに挟まれた現在地（各パッド端から約 1mm）で、3 個すべてを 1 個で見られている。動かさないこと</t>
        </is>
      </c>
      <c r="C6" s="8" t="inlineStr">
        <is>
          <t>遮断点の精度は Q1 − TH1 のオフセットで決まる。v2.1.1 の時点で要求（5mm 以内）を満たしており、改善の余地はない</t>
        </is>
      </c>
    </row>
    <row r="7" ht="36" customHeight="1">
      <c r="A7" s="37" t="inlineStr">
        <is>
          <t>TH2</t>
        </is>
      </c>
      <c r="B7" s="7" t="inlineStr">
        <is>
          <t>R11 から 5mm 程度離す。密着させない</t>
        </is>
      </c>
      <c r="C7" s="8" t="inlineStr">
        <is>
          <t>NCP21X の動作上限は 125℃。R11 は 150℃ 以上になり得る</t>
        </is>
      </c>
    </row>
    <row r="8" ht="36" customHeight="1">
      <c r="A8" s="37" t="inlineStr">
        <is>
          <t>IC4（3.3V 降圧）</t>
        </is>
      </c>
      <c r="B8" s="7" t="inlineStr">
        <is>
          <t>SW ノード（IC4.6 − L2 − D10.K）のループ面積を最小化。C27 を VIN − GND 間の直近に置く</t>
        </is>
      </c>
      <c r="C8" s="8" t="inlineStr">
        <is>
          <t>0.7MHz のスイッチング。ノイズ源になる</t>
        </is>
      </c>
    </row>
    <row r="9" ht="36" customHeight="1">
      <c r="A9" s="37" t="inlineStr">
        <is>
          <t>FB_3V3</t>
        </is>
      </c>
      <c r="B9" s="7" t="inlineStr">
        <is>
          <t>R44 / R45 を IC4.3 の近くに置き、配線を SW ノードから離す</t>
        </is>
      </c>
      <c r="C9" s="8" t="inlineStr">
        <is>
          <t>高インピーダンスノードのため</t>
        </is>
      </c>
    </row>
    <row r="10" ht="36" customHeight="1">
      <c r="A10" s="37" t="inlineStr">
        <is>
          <t>C24（MCU デカップリング）</t>
        </is>
      </c>
      <c r="B10" s="7" t="inlineStr">
        <is>
          <t>IC6.4 / IC6.5 のピン直近</t>
        </is>
      </c>
      <c r="C10" s="8" t="inlineStr"/>
    </row>
    <row r="11" ht="36" customHeight="1">
      <c r="A11" s="37" t="inlineStr">
        <is>
          <t>アナログ配線</t>
        </is>
      </c>
      <c r="B11" s="7" t="inlineStr">
        <is>
          <t>TH1_SENSE / TH2_SENSE / VBUS_SENSE / VOUT_SENSE は SW ノードとチョッパのゲート配線から離す</t>
        </is>
      </c>
      <c r="C11" s="8" t="inlineStr">
        <is>
          <t>ADC 精度</t>
        </is>
      </c>
    </row>
    <row r="12" ht="36" customHeight="1">
      <c r="A12" s="37" t="inlineStr">
        <is>
          <t>EN ネット</t>
        </is>
      </c>
      <c r="B12" s="7" t="inlineStr">
        <is>
          <t>IC3.5 までを短く。Q6 / R40 / C12 / D8 を EN ピンの近くにまとめる</t>
        </is>
      </c>
      <c r="C12" s="8" t="inlineStr">
        <is>
          <t>ノイズ耐性</t>
        </is>
      </c>
    </row>
    <row r="13" ht="46.5" customHeight="1">
      <c r="A13" s="37" t="inlineStr">
        <is>
          <t>J5 / J6</t>
        </is>
      </c>
      <c r="B13" s="7" t="inlineStr">
        <is>
          <t>基板端にまとめる。J6 は PCBA でピンヘッダ（XFCN PZ254V-11-05P / C492404）を実装するため、周囲とコネクタ上方にクリアランスを確保する</t>
        </is>
      </c>
      <c r="C13" s="8" t="inlineStr">
        <is>
          <t>開発中は何十回も書き込むため、DNP のままでは運用できない。v3.0.0 では PCBA で実装する。量産で外す</t>
        </is>
      </c>
    </row>
    <row r="14" ht="36" customHeight="1">
      <c r="A14" s="37" t="inlineStr">
        <is>
          <t>R40（2.2kΩ）</t>
        </is>
      </c>
      <c r="B14" s="7" t="inlineStr">
        <is>
          <t>1206 以上を使う</t>
        </is>
      </c>
      <c r="C14" s="8" t="inlineStr">
        <is>
          <t>Vout 短絡時に 0.33W。1206 でも発熱するが、開放故障は安全側（EN が ENBIAS で Low に落ちる）</t>
        </is>
      </c>
    </row>
    <row r="15" ht="60" customHeight="1">
      <c r="A15" s="37" t="inlineStr">
        <is>
          <t>GND 分割（方針）</t>
        </is>
      </c>
      <c r="B15" s="7" t="inlineStr">
        <is>
          <t>v2.1.1 の構成をそのまま維持する。AC 用 GND（バッテリー／MDDS30 の電流経路）と DC 用 GND（制御）の 2 島構成、C5（VBUS 側バルクコンデンサ）の GND 端子直下で 1 点接続。v2.3 の追加部品はすべて DC 島に置き、3 枚目の島を作らない。詳細は本シート下部「GND 分割とスリット設計」</t>
        </is>
      </c>
      <c r="C15" s="8" t="inlineStr">
        <is>
          <t>v2.1.1 で 2 島構成が機能している。LMR16006 の追加で分割の価値はむしろ上がる（AC→DC の遮断に加え、0.7MHz のリターン電流を DC 島に閉じ込める効果が加わる）</t>
        </is>
      </c>
    </row>
    <row r="16">
      <c r="A16" s="39" t="inlineStr">
        <is>
          <t>C26（NRST）</t>
        </is>
      </c>
      <c r="B16" s="39" t="inlineStr">
        <is>
          <t>IC6.6（PF2-NRST）のピン直近に置く。最優先項目</t>
        </is>
      </c>
      <c r="C16" s="39" t="inlineStr">
        <is>
          <t>NRST は内蔵プルアップ（STM32 系で概ね 25〜55kΩ）のみで保持される高インピーダンスノード。C26 100nF がノイズ吸収の主体で、離すと効かない</t>
        </is>
      </c>
    </row>
    <row r="17">
      <c r="A17" s="39" t="inlineStr">
        <is>
          <t>MCU_NRST ネット</t>
        </is>
      </c>
      <c r="B17" s="39" t="inlineStr">
        <is>
          <t>J6.4 への分岐を短くする。J6 は未実装の THT のため、離れた位置に置くとパッドまでの配線がスタブになる</t>
        </is>
      </c>
      <c r="C17" s="39" t="inlineStr">
        <is>
          <t>意図しないリセットは PA5 が Hi-Z になり 93ms 後に遮断される（＝走行中の電源断）。リセット耐性は通電継続に直結する</t>
        </is>
      </c>
    </row>
    <row r="18">
      <c r="A18" s="39" t="inlineStr">
        <is>
          <t>MCU_NRST ネット</t>
        </is>
      </c>
      <c r="B18" s="39" t="inlineStr">
        <is>
          <t>チョッパ（Q4 / R11 / Q5 のゲート配線）と 30A 経路の近くを通さない</t>
        </is>
      </c>
      <c r="C18" s="39" t="inlineStr">
        <is>
          <t>同上。容量結合による負方向グリッチを避ける</t>
        </is>
      </c>
    </row>
    <row r="19">
      <c r="A19" s="39" t="inlineStr">
        <is>
          <t>R50（10kΩ、条件付き）</t>
        </is>
      </c>
      <c r="B19" s="39" t="inlineStr">
        <is>
          <t>J6 を MCU から離した位置にしか置けず MCU_NRST の配線が伸びる場合のみ、+3V3 → NRST に 10kΩ を追加する。R50 は現行 BOM の空き番</t>
        </is>
      </c>
      <c r="C19" s="39" t="inlineStr">
        <is>
          <t>τ が 5.5ms（内蔵 55kΩ）から 1ms に下がり、インピーダンスが 5 倍下がる。副作用は NRST を Low に駆動する際の 0.33mA のみ</t>
        </is>
      </c>
    </row>
    <row r="20">
      <c r="A20" s="39" t="inlineStr">
        <is>
          <t>J6 の GND（pin5）</t>
        </is>
      </c>
      <c r="B20" s="39" t="inlineStr">
        <is>
          <t>ゾーンのパッド接続をサーマルリリーフにする。Solid 接続にしない</t>
        </is>
      </c>
      <c r="C20" s="39" t="inlineStr">
        <is>
          <t>GND ベタに直結すると熱が逃げて手はんだできない。ゾーン設定を Solid にしている場合はこのパッドだけ個別に指定する</t>
        </is>
      </c>
    </row>
    <row r="21"/>
    <row r="22">
      <c r="A22" s="40" t="inlineStr">
        <is>
          <t>NRST に関する補足</t>
        </is>
      </c>
    </row>
    <row r="23">
      <c r="A23" s="2" t="inlineStr">
        <is>
          <t>■ 外付けプルアップは必須ではない。STM32 の NRST には内蔵プルアップがあり、ST の推奨も「外付けプルアップ不要、0.1µF のコンデンサのみ」。C26 100nF がこれに当たる。正確な R_PU は STM32C011 データシートの NRST pin characteristics で確認すること。</t>
        </is>
      </c>
    </row>
    <row r="24">
      <c r="A24" s="2" t="inlineStr">
        <is>
          <t>■ 現状でもノイズ耐性は足りている。内蔵プルアップを最悪 55kΩ としても C26 100nF で τ = 5.5ms。NRST を V_IL（約 0.3×VDD ≒ 1.0V）まで引き下げるには 100nF × 2.3V = 230nC の電荷を抜く必要があり、容量結合程度では届かない。故障モード #8（2ms のリセットで Q6 の Vgs は 65mV まで）とも整合する。</t>
        </is>
      </c>
    </row>
    <row r="25">
      <c r="A25" s="11" t="inlineStr">
        <is>
          <t>★ C26 を 100nF より大きくしないこと。NRST は双方向オープンドレインで MCU 自身も内部リセット時に駆動する。容量が大きいと ST-LINK の connect-under-reset が効かなくなる場合がある。</t>
        </is>
      </c>
    </row>
    <row r="26">
      <c r="A26" s="11" t="inlineStr">
        <is>
          <t>★ PF2-NRST はオプションバイト（NRST_MODE）で GPIO に転用できるが、本設計は既定のリセット機能のまま使う前提。GPIO モードにするとプルアップの扱いが変わり、上記の前提が崩れる。</t>
        </is>
      </c>
    </row>
    <row r="27"/>
    <row r="28">
      <c r="A28" s="40" t="inlineStr">
        <is>
          <t>GND 分割とスリット設計</t>
        </is>
      </c>
    </row>
    <row r="29" ht="25" customHeight="1">
      <c r="A29" s="2" t="inlineStr">
        <is>
          <t>AC 用 GND（バッテリー／MDDS30 の電流経路）と DC 用 GND（制御）の 2 島構成を v2.3 でどう維持するか。AC 用 GND は裏面が主体で、DC 島は表面＋裏面。</t>
        </is>
      </c>
    </row>
    <row r="30"/>
    <row r="31" ht="20" customHeight="1">
      <c r="A31" s="43" t="inlineStr">
        <is>
          <t>対象</t>
        </is>
      </c>
      <c r="B31" s="43" t="inlineStr">
        <is>
          <t>指示</t>
        </is>
      </c>
      <c r="C31" s="43" t="inlineStr">
        <is>
          <t>理由</t>
        </is>
      </c>
    </row>
    <row r="32" ht="50" customHeight="1">
      <c r="A32" s="44" t="inlineStr">
        <is>
          <t>島の構成（表裏）</t>
        </is>
      </c>
      <c r="B32" s="45" t="inlineStr">
        <is>
          <t>AC 用 GND は裏面。DC 用 GND は表面と裏面の両方に置き、表裏をビアで多数縫う。表裏の境界線は C5 の GND パッドで一致させる。表面に AC GND が残る領域（Q1〜Q3 のソース周り、J1 / J2 / J3 の近傍など）があれば、そこと DC 島の間は 1.0mm のスリットで分ける</t>
        </is>
      </c>
      <c r="C32" s="46" t="inlineStr">
        <is>
          <t>高周波のリターン電流は配線の直下の銅箔に誘起される。DC 島の真下が AC ベタだと、表面を走る制御信号のリターンが AC 側に流れ、1 点接続を迂回してしまう</t>
        </is>
      </c>
    </row>
    <row r="33" ht="87.5" customHeight="1">
      <c r="A33" s="44" t="inlineStr">
        <is>
          <t>裏面 AC ベタが DC 島の下に回り込む区間</t>
        </is>
      </c>
      <c r="B33" s="45" t="inlineStr">
        <is>
          <t>裏面中央の放熱用 VBUS ベタで AC GND が左右に分断されるため、一部は回り込む。その重なり部の表面に「ルールエリア（F.Cu のみ／配線禁止にチェック／ベタの塗りつぶしは許可）」を置き、制御配線と部品を排除する。特に IC4 の SW ノード・L2、MCU のクロックと SWD、TH1_SENSE / TH2_SENSE / 各 SENSE は通さない。なお裏面の該当部を DC GND に付け替えられる（実電流が通っていない）なら、そちらが最善</t>
        </is>
      </c>
      <c r="C33" s="46" t="inlineStr">
        <is>
          <t>重なり自体は無害。表裏ベタの容量は約 2.4pF/cm² で、0.7MHz では 1cm² あたり 95kΩ。むしろ 2 つの島が高周波でダイポール化するのを防ぐ側に働く。有害なのは重なり部の上を通る配線のリターンだけなので、対処は裏面の形状ではなく表面の配線で行う</t>
        </is>
      </c>
    </row>
    <row r="34" ht="62.5" customHeight="1">
      <c r="A34" s="44" t="inlineStr">
        <is>
          <t>裏面 AC GND の左右の連絡</t>
        </is>
      </c>
      <c r="B34" s="45" t="inlineStr">
        <is>
          <t>J3 の GND と J1 / J2 の VB− が、裏面 VBUS ベタの同じ側にあることを確認する。反対側にある場合は、VBUS ベタの Q1〜Q3 から遠い端を削って裏面 AC GND の左右を直結する通路を作る</t>
        </is>
      </c>
      <c r="C34" s="46" t="inlineStr">
        <is>
          <t>20A の帰還電流が VBUS ベタを基板端まで迂回すると、DC 島への重なりよりはるかに大きなループと電圧降下を生む。放熱は Q1〜Q3 の直下が効くので、遠い端を削っても熱的な損失はほとんどない</t>
        </is>
      </c>
    </row>
    <row r="35" ht="87.5" customHeight="1">
      <c r="A35" s="44" t="inlineStr">
        <is>
          <t>1 点接続（C5）— 構造</t>
        </is>
      </c>
      <c r="B35" s="45" t="inlineStr">
        <is>
          <t>配線で引き出さない。C5（VBUS 側バルクコンデンサ）の GND パッドそのものを両島の共有パッドにする。表面 DC ベタをパッドの片側に接続し、反対側のパッド直近から裏面 AC ベタへビアで落とす。表面側の銅箔の首は幅 2〜3mm（これは幅であって長さではない）</t>
        </is>
      </c>
      <c r="C35" s="46" t="inlineStr">
        <is>
          <t>C5 は MDDS30 のリップル電流ループ（C5 → Q3 → Vout → J3 → モータ → J3.GND → 裏面 AC ベタ → C5.GND）が折り返す点で、AC 島で最も AC 的に静かなノード。パッドから配線で引き出すと、その配線が 1 点接続の実体になり R と L が直列に入る</t>
        </is>
      </c>
    </row>
    <row r="36" ht="112.5" customHeight="1">
      <c r="A36" s="44" t="inlineStr">
        <is>
          <t>1 点接続（C5）— 幅の根拠</t>
        </is>
      </c>
      <c r="B36" s="45" t="inlineStr">
        <is>
          <t>表面側の首は 2mm 以上を確保する。0Ω チップ抵抗で渡す構成は採用しない</t>
        </is>
      </c>
      <c r="C36" s="46" t="inlineStr">
        <is>
          <t>定常電流は約 4〜5mA（IC4 入力 3.6mA ＋ ADC 分圧 76µA ＋ EN 分圧 0.25mA ほか）で、電流容量なら 0.3mm でも足りる。幅を決めているのは D12（SMAJ15A、IPP 61.5A）がクランプしたときの帰還電流で、0.3mm なら DC 島が約 200mV 持ち上がるのに対し 2mm なら約 15mV。1206 の 0Ω は実抵抗が 20〜50mΩ あり、同じサージで約 1.8V 持ち上がるため不可</t>
        </is>
      </c>
    </row>
    <row r="37" ht="100" customHeight="1">
      <c r="A37" s="44" t="inlineStr">
        <is>
          <t>C5 の GND パッド — ゾーン接続とビア</t>
        </is>
      </c>
      <c r="B37" s="45" t="inlineStr">
        <is>
          <t>パッドのゾーン接続を「ソリッド」に指定する（サーマルリリーフにしない）。パッド外縁から 0.3〜0.5mm の位置に 0.3mm ドリルのビアを 8 本以上、入るだけ打つ。ビアはテンティングする。パッド内ビア（via-in-pad）は使わない</t>
        </is>
      </c>
      <c r="C37" s="46" t="inlineStr">
        <is>
          <t>サーマルリリーフのままだとブリッジの実体が幅 0.5mm のスポーク 4 本になる。またこのビアは GND ブリッジであると同時に C5 自身のリップル電流（数 A オーダー）の通り道で、0.3mm ビア 1 本は約 1.2mΩ / 1.3nH / 連続 1〜1.5A。8 本で 0.15mΩ。パッド内ビアは未充填だとリフロー時にはんだが吸われる</t>
        </is>
      </c>
    </row>
    <row r="38" ht="37.5" customHeight="1">
      <c r="A38" s="44" t="inlineStr">
        <is>
          <t>IC4 / IC3 の VBUS 供給</t>
        </is>
      </c>
      <c r="B38" s="45" t="inlineStr">
        <is>
          <t>両者の VIN は C5 の + 端子から取る</t>
        </is>
      </c>
      <c r="C38" s="46" t="inlineStr">
        <is>
          <t>DC 島の電源ループが往路・復路とも C5 一個で閉じ、ビアにも裏面 AC ベタにも入らない。パック電流と銅箔を共有しない</t>
        </is>
      </c>
    </row>
    <row r="39" ht="50" customHeight="1">
      <c r="A39" s="44" t="inlineStr">
        <is>
          <t>C27 / D10（IC4 のホットループ）</t>
        </is>
      </c>
      <c r="B39" s="45" t="inlineStr">
        <is>
          <t>C27 の GND 端子と D10 のアノードを最短で結ぶ。C27 → IC4.VIN → IC4.SW → D10 → C27 のループを数 mm に収める。C28 も C27 と同じ位置に重ねて置く</t>
        </is>
      </c>
      <c r="C39" s="46" t="inlineStr">
        <is>
          <t>非同期降圧のため、この経路が電流不連続のホットループ。DC 島内で最もノイズが大きい配線で、ここが緩むと分割の効果そのものが消える</t>
        </is>
      </c>
    </row>
    <row r="40" ht="50" customHeight="1">
      <c r="A40" s="44" t="inlineStr">
        <is>
          <t>DC 島に置く部品</t>
        </is>
      </c>
      <c r="B40" s="45" t="inlineStr">
        <is>
          <t>IC3 / IC4 / IC6 / L2 / D10 / C27 / C28 / C30 / C31、FB 分圧（R44・R45）、EN 回路（Q6・R40・C12・D8）、NTC 基準抵抗（R30・R31）、ADC 分圧の下側抵抗（R33・R35・R37）、C20・C22〜C26・C29・C32〜C35 — すべて DC 島。AC ベタに GND を落とさない</t>
        </is>
      </c>
      <c r="C40" s="46" t="inlineStr">
        <is>
          <t>1 つでも AC ベタに落ちると、そこが 2 つ目の接続点になり分割が無効になる</t>
        </is>
      </c>
    </row>
    <row r="41" ht="50" customHeight="1">
      <c r="A41" s="44" t="inlineStr">
        <is>
          <t>TH1 / TH2 の GND 側</t>
        </is>
      </c>
      <c r="B41" s="45" t="inlineStr">
        <is>
          <t>AC ベタに落とさず、DC 島まで専用配線で戻す。駆動線（R30 / R31 側）と並走させ、ループ面積を最小にする</t>
        </is>
      </c>
      <c r="C41" s="46" t="inlineStr">
        <is>
          <t>TH1 は Q1 / Q2 / Q3 のドレインパッドに囲まれた AC 領域の中心にある。近くの AC ベタに落とすと、比例測温の分母に AC 側のノイズが直接乗る</t>
        </is>
      </c>
    </row>
    <row r="42" ht="50" customHeight="1">
      <c r="A42" s="44" t="inlineStr">
        <is>
          <t>IC3.GATE / IC3.OUT</t>
        </is>
      </c>
      <c r="B42" s="45" t="inlineStr">
        <is>
          <t>Q3 のゲートとソースへ向かう 2 本は、必ずペアで並走させて島の境界を渡る</t>
        </is>
      </c>
      <c r="C42" s="46" t="inlineStr">
        <is>
          <t>IC3 の GND は DC 島、Q3 は AC 領域にある。C9 ∥ C15（44nF）の充放電電流の往復路を揃えないとループ面積が大きくなる</t>
        </is>
      </c>
    </row>
    <row r="43" ht="37.5" customHeight="1">
      <c r="A43" s="44" t="inlineStr">
        <is>
          <t>スリットを跨ぐ配線</t>
        </is>
      </c>
      <c r="B43" s="45" t="inlineStr">
        <is>
          <t>上記以外にスリットを跨ぐ配線を作らない。やむを得ず跨ぐ信号は 1 点接続の近傍を通す</t>
        </is>
      </c>
      <c r="C43" s="46" t="inlineStr">
        <is>
          <t>帰還電流が 1 点接続まで迂回し、ループ面積が分割前より大きくなる。分割 GND で最も多い失敗</t>
        </is>
      </c>
    </row>
    <row r="44" ht="62.5" customHeight="1">
      <c r="A44" s="44" t="inlineStr">
        <is>
          <t>スリットの作り方（KiCad）</t>
        </is>
      </c>
      <c r="B44" s="45" t="inlineStr">
        <is>
          <t>GND ベタは 1 枚のまま描き、境界に「ルールエリア」を置いて「ベタの塗りつぶしを禁止」にチェックしてスリットを切る。2 枚のゾーンを向かい合わせる方法は取らない</t>
        </is>
      </c>
      <c r="C44" s="46" t="inlineStr">
        <is>
          <t>同一ネットのゾーン間にはクリアランスが適用されず、輪郭が接すると無言でマージされる（DRC では検出不可）。ルールエリアならスリット幅とブリッジ幅が形状として一意に決まり、あとから崩れない</t>
        </is>
      </c>
    </row>
    <row r="45" ht="112.5" customHeight="1">
      <c r="A45" s="44" t="inlineStr">
        <is>
          <t>スリット幅</t>
        </is>
      </c>
      <c r="B45" s="45" t="inlineStr">
        <is>
          <t>1.0mm。全長で幅を一定にする。0.2〜0.3mm にはしない</t>
        </is>
      </c>
      <c r="C45" s="46" t="inlineStr">
        <is>
          <t>電位差 0V なので電気的な要求はゼロ。同一平面の銅箔どうしの結合容量はギャップに対数的にしか効かず、スリット長 30mm で 1〜2pF（0.7MHz で 100kΩ 超）。分離性能を決めているのはブリッジであってギャップ幅ではない。0.2〜0.3mm ではエッチング不良と区別がつかず、1.0mm ならルールエリアを多少動かしても閉じない</t>
        </is>
      </c>
    </row>
    <row r="46"/>
    <row r="47">
      <c r="A47" s="40" t="inlineStr">
        <is>
          <t>クリアランス設定</t>
        </is>
      </c>
    </row>
    <row r="48" ht="14" customHeight="1">
      <c r="A48" s="2" t="inlineStr">
        <is>
          <t>ネットの電位で決まる。全体に一律の値を適用しないこと。</t>
        </is>
      </c>
    </row>
    <row r="49"/>
    <row r="50" ht="20" customHeight="1">
      <c r="A50" s="43" t="inlineStr">
        <is>
          <t>対象</t>
        </is>
      </c>
      <c r="B50" s="43" t="inlineStr">
        <is>
          <t>指示</t>
        </is>
      </c>
      <c r="C50" s="43" t="inlineStr">
        <is>
          <t>理由</t>
        </is>
      </c>
    </row>
    <row r="51" ht="62.5" customHeight="1">
      <c r="A51" s="44" t="inlineStr">
        <is>
          <t>グローバル既定（Default ネットクラス）</t>
        </is>
      </c>
      <c r="B51" s="45" t="inlineStr">
        <is>
          <t>0.2mm</t>
        </is>
      </c>
      <c r="C51" s="46" t="inlineStr">
        <is>
          <t>低圧側（3.3V 以下）に合わせる。IPC-2221B の要求は 0.1mm だが、JLCPCB の 2 層標準は最小 0.127mm・推奨 0.2mm。TSSOP-20 の隣接パッド間ギャップ 0.25mm にも収まる</t>
        </is>
      </c>
    </row>
    <row r="52" ht="87.5" customHeight="1">
      <c r="A52" s="44" t="inlineStr">
        <is>
          <t>ネットクラス Power_HV</t>
        </is>
      </c>
      <c r="B52" s="45" t="inlineStr">
        <is>
          <t>0.6mm。メンバー：VBUS / Vout / ChopperLoad / Battery1_Fused_1 / Battery2_Fused_1 / IC4.SW / IC3 の GATE・OUT / Q1・Q2 のゲートネット</t>
        </is>
      </c>
      <c r="C52" s="46" t="inlineStr">
        <is>
          <t>IPC-2221B Table 6-1、外層・コーティング無し（Type B1）の 31〜50V バンドが 0.6mm。IC3.GATE は VIN＋12V で最大 44V、LM74610 のゲート駆動も VBUS＋10V 程度。SMCJ33A クランプ時の約 54V は 51〜100V バンドに入るが、こちらも 0.6mm で変わらない</t>
        </is>
      </c>
    </row>
    <row r="53" ht="87.5" customHeight="1">
      <c r="A53" s="44" t="inlineStr">
        <is>
          <t>高圧ベタどうしの境界（3 組）</t>
        </is>
      </c>
      <c r="B53" s="45" t="inlineStr">
        <is>
          <t>VBUS ベタ ↔ GND ベタ／Vout ベタ ↔ GND ベタ／VBUS ベタ ↔ Vout ベタ、いずれも 1.0mm。Vout ゾーンのプロパティでローカルクリアランスを 1.0mm に設定する</t>
        </is>
      </c>
      <c r="C53" s="46" t="inlineStr">
        <is>
          <t>ベタ同士は広げてもコストがほぼゼロなので IPC の 0.6mm に余裕を持たせる。VBUS ↔ Vout の定常最悪値は 29.4V でバンド境界上だが、Q3 ターンオフ時に Vout がアンダーシュートして超えるうえ、橋絡するとロードスイッチが無言で無効化される（発覚しない潜在故障）</t>
        </is>
      </c>
    </row>
    <row r="54" ht="62.5" customHeight="1">
      <c r="A54" s="44" t="inlineStr">
        <is>
          <t>VB+ ベタ（J1 / J2 入力）↔ GND ベタ</t>
        </is>
      </c>
      <c r="B54" s="45" t="inlineStr">
        <is>
          <t>1.0mm。詰めない</t>
        </is>
      </c>
      <c r="C54" s="46" t="inlineStr">
        <is>
          <t>基板上で最も危険なペア。橋絡は 7S4P パックの直接短絡で、理想ダイオードより上流のため基板上に保護が無い。他の境界を 1.0mm にしながらここだけ詰めるのは優先順位が逆</t>
        </is>
      </c>
    </row>
    <row r="55" ht="50" customHeight="1">
      <c r="A55" s="44" t="inlineStr">
        <is>
          <t>高圧配線 ↔ GND ベタ</t>
        </is>
      </c>
      <c r="B55" s="45" t="inlineStr">
        <is>
          <t>0.6mm（ネットクラス Power_HV で強制）。1.0mm は適用しない。そもそも VBUS / Vout の配線を DC 島の GND ベタの中に通さない</t>
        </is>
      </c>
      <c r="C55" s="46" t="inlineStr">
        <is>
          <t>1.0mm にすると配線幅＋2mm の溝がベタに刻まれ、GND の連続性を削る。高圧ネットを制御エリアに引き込むこと自体も避けるべき</t>
        </is>
      </c>
    </row>
    <row r="56" ht="37.5" customHeight="1">
      <c r="A56" s="44" t="inlineStr">
        <is>
          <t>部品のランドパターンが決める箇所（例外）</t>
        </is>
      </c>
      <c r="B56" s="45" t="inlineStr">
        <is>
          <t>Q3（SON 5×6）のドレイン ⇔ ソース、C3 / C4（0603）のパッド間 約 0.68mm など。1.0mm は適用しない。ランドパターンより外側で追加の狭窄を作っていないかだけ塗りつぶし後に確認する</t>
        </is>
      </c>
      <c r="C56" s="46" t="inlineStr">
        <is>
          <t>部品自体が下限を決めているため。Q1 / Q2（VB+ ⇔ VBUS）も同様</t>
        </is>
      </c>
    </row>
    <row r="57" ht="87.5" customHeight="1">
      <c r="A57" s="44" t="inlineStr">
        <is>
          <t>C3 / C4（100pF C0G 100V、0603）</t>
        </is>
      </c>
      <c r="B57" s="45" t="inlineStr">
        <is>
          <t>0603 のまま。1206 等に大型化しない。ベタ間は 1.0mm を維持し、パッド間 約 0.68mm のくびれはそのまま許容する。余裕が欲しければ C_0603_1608Metric_Pad1.08x0.95mm_HandSolder（パッド間 約 0.80mm）に変更する。D3 / D4 の直近に置き、GND 側はパッド直近のビアで裏面へ落としてループを最小化する。取付穴・基板端・XT60（J1 / J2）のたわみ域からは外す</t>
        </is>
      </c>
      <c r="C57" s="46" t="inlineStr">
        <is>
          <t>100pF の役割は TVS より速く効く高周波バイパスで、価値は低 ESL にある。1206 は ESL が 1.5 倍になり機能が劣化し、基板のたわみによるクラックにも弱くなる。最小距離は部品が決めているので、ベタを 0.5mm に詰めても改善せず、長い 0.5mm 境界が増えてリスクだけ上がる</t>
        </is>
      </c>
    </row>
    <row r="58" ht="52" customHeight="1">
      <c r="A58" s="44" t="inlineStr">
        <is>
          <t>Vout / VBUS の配線幅（クリアランスとは別）</t>
        </is>
      </c>
      <c r="B58" s="45" t="inlineStr">
        <is>
          <t>ベタを広げた後の最狭部の幅を確認する</t>
        </is>
      </c>
      <c r="C58" s="46" t="inlineStr">
        <is>
          <t>1oz・外層・ΔT 20℃（IPC-2221）：5A→1.8mm / 10A→4.8mm / 15A→8.3mm / 20A→12.4mm / 30A→21.6mm。F1 / F2 は 30A ヒューズなので、連続定格ではなく実走行電流で設計し、最狭部が想定電流を満たすか確認する</t>
        </is>
      </c>
    </row>
    <row r="59"/>
    <row r="60">
      <c r="A60" s="40" t="inlineStr">
        <is>
          <t>GND 分割とクリアランスに関する補足</t>
        </is>
      </c>
    </row>
    <row r="61"/>
    <row r="62" ht="50" customHeight="1">
      <c r="A62" s="2" t="inlineStr">
        <is>
          <t>■ 分割の目的は 2 方向ある。(1) AC → DC：パック電流と MDDS30 の PWM 電流が AC ベタに作る IR ドロップと L·di/dt を、制御系の基準電位から切り離す。v2.3 は測定点が VBUS / Vout / ChopperLoad / TH1 / TH2 の 5 系統に増えたため、v2.1.1 より価値が大きい。(2) DC → AC：LMR16006 の 0.7MHz のリターン電流を DC 島に閉じ込め、バッテリーハーネスと MDDS30 ハーネスに乗せない。LMR16006 の追加は分割をやめる理由ではなく、分割を維持する 2 つ目の理由。</t>
        </is>
      </c>
    </row>
    <row r="63" ht="37.5" customHeight="1">
      <c r="A63" s="2" t="inlineStr">
        <is>
          <t>■ IC3（LM5060）の GND を DC 島に置く前提。IC3 の GND に流れる電流は ENBIAS 6µA ＋ IGATE 24µA 程度で、1 点接続に対して無視できる。EN のしきい値（ENTHH 2.00V / ENTHL 0.80V）は IC3 の GND 基準なので、EN 分圧の下側（R40 / C12 / D8）も必ず DC 島に揃えること。島をまたぐと R5 の選別窓 0.95〜1.50V を数十 mV 単位で食う。</t>
        </is>
      </c>
    </row>
    <row r="64" ht="25" customHeight="1">
      <c r="A64" s="2" t="inlineStr">
        <is>
          <t>■ IC3 の VIN（VBUS）は C5 と同じノードを基準に測ることになり、1 点接続の位置と整合する。Q3 のゲート駆動は OUT（ソース）基準なので、AC 島と DC 島の電位差は Vgs には影響しない。</t>
        </is>
      </c>
    </row>
    <row r="65" ht="37.5" customHeight="1">
      <c r="A65" s="11" t="inlineStr">
        <is>
          <t>★ グローバルのクリアランスを 1.0mm にしないこと。クリアランス設定は配線間距離だけでなく「ベタが他ネットのパッドから後退する距離」も決めるため、1.0mm にすると IC6（TSSOP-20）の 20 ピンすべてから 1mm 後退して MCU 周辺 8×6mm のベタが消え、0603 ごとに直径 2mm 以上の穴が開く。制御エリアの GND ベタが分断され、分割 GND を作った目的そのものが壊れる。</t>
        </is>
      </c>
    </row>
    <row r="66" ht="25" customHeight="1">
      <c r="A66" s="11" t="inlineStr">
        <is>
          <t>★ KiCad では同一ネットのゾーン間にクリアランスが適用されない。塗りつぶし（B キー）後に必ず拡大して分離を目視確認すること。片方のゾーンの頂点を動かしただけで繋がり、DRC は無言で通る。</t>
        </is>
      </c>
    </row>
    <row r="67" ht="14" customHeight="1">
      <c r="A67" s="11" t="inlineStr">
        <is>
          <t>★ ゾーンの「孤立した銅の除去（Remove islands）」設定に注意。スリットで切り離した側に接続パッドが無いと、ベタごと消える。</t>
        </is>
      </c>
    </row>
    <row r="68" ht="37.5" customHeight="1">
      <c r="A68" s="11" t="inlineStr">
        <is>
          <t>★ v2.4 で外部センサーのコネクタを DC 島に追加する場合は、この分割を再検討すること。DC 島から外部ケーブルが出ると、0.7MHz のコモンモード電流の戻り先が 1 点接続しかなくなり、ケーブルが放射源になる。対策はスリットを跨ぐ 1〜10nF をコネクタ直近に置くこと。v2.3 の時点でそのフットプリント（0603、DNP）をスリット脇に用意しておくと安い保険になる（追加する場合は C36 として BOM 登録が必要）。</t>
        </is>
      </c>
    </row>
    <row r="69"/>
    <row r="70">
      <c r="A70" s="53" t="inlineStr">
        <is>
          <t>実測検証結果（v3.0.0 基板図の数値解析／2026-10-14）</t>
        </is>
      </c>
    </row>
    <row r="71" ht="32" customHeight="1">
      <c r="A71" s="52" t="inlineStr">
        <is>
          <t>上記のレイアウト指示が実際に満たされているかを、.kicad_pcb の実形状から数値的に検証した結果。銅箔をラスタライズして抵抗ネットワーク／熱伝導方程式を解いたもので、測定器による実測ではない。実機での裏取り項目は試験記録シート v3.0.0 の 7-2〜7-16 / 9-8 / 9-9 / 10-1〜10-7。</t>
        </is>
      </c>
    </row>
    <row r="72"/>
    <row r="73" ht="26" customHeight="1">
      <c r="A73" s="50" t="inlineStr">
        <is>
          <t>項目</t>
        </is>
      </c>
      <c r="B73" s="50" t="inlineStr">
        <is>
          <t>検証結果</t>
        </is>
      </c>
      <c r="C73" s="50" t="inlineStr">
        <is>
          <t>意味・根拠</t>
        </is>
      </c>
    </row>
    <row r="74" ht="61" customHeight="1">
      <c r="A74" s="51" t="inlineStr">
        <is>
          <t>GND 経路抵抗</t>
        </is>
      </c>
      <c r="B74" s="51" t="inlineStr">
        <is>
          <t>J3 の GND 端子 → 両パックの − 端子で 0.975 mΩ（両パック接続）。パック 1 のみ 1.398 mΩ、パック 2 のみ 1.077 mΩ。30A では 29.3 mV / 0.88 W</t>
        </is>
      </c>
      <c r="C74" s="51" t="inlineStr">
        <is>
          <t>2 島構成と C5 一点接続を維持したまま、大電流側の経路抵抗が 1 mΩ 台に収まっていることの確認。試験記録シート 9-9 / 10-2 / 10-3 の判定基準の根拠</t>
        </is>
      </c>
    </row>
    <row r="75" ht="46.5" customHeight="1">
      <c r="A75" s="51" t="inlineStr">
        <is>
          <t>GND の電流配分（30A）</t>
        </is>
      </c>
      <c r="B75" s="51" t="inlineStr">
        <is>
          <t>裏面左チャネル 10.43 A ／ 表面中央 4.0 A ／ 右側 表面 7.8 A ＋ 裏面 7.8 A</t>
        </is>
      </c>
      <c r="C75" s="51" t="inlineStr">
        <is>
          <t>裏面中央の VBUS 放熱ベタで AC GND が左右に分断されるため、電流は 4 経路に分かれる。偏りは 1.3 倍程度に収まっている</t>
        </is>
      </c>
    </row>
    <row r="76" ht="75.5" customHeight="1">
      <c r="A76" s="51" t="inlineStr">
        <is>
          <t>GND チャネル幅</t>
        </is>
      </c>
      <c r="B76" s="51" t="inlineStr">
        <is>
          <t>左 10.88 mm（x 130.4〜141.3、全長で一定）／右 裏面 10.04 mm ＋ 表面 15.68 mm（x 166.6〜182.3）</t>
        </is>
      </c>
      <c r="C76" s="51" t="inlineStr">
        <is>
          <t>IPC-2221 外層 1oz・ΔT 20℃ の要求は 10A で 4.8 mm。左チャネル 10.88 mm は実電流 10.43 A に対し 2 倍以上。初版にあった TP18 のサーマルリリーフ由来の 8.16 mm のくびれは TP18 の移動で解消</t>
        </is>
      </c>
    </row>
    <row r="77" ht="46.5" customHeight="1">
      <c r="A77" s="51" t="inlineStr">
        <is>
          <t>Vout 経路抵抗</t>
        </is>
      </c>
      <c r="B77" s="51" t="inlineStr">
        <is>
          <t>Q3 のソース → J3.1 で 1.024 mΩ。30A では 30.7 mV / 0.92 W</t>
        </is>
      </c>
      <c r="C77" s="51" t="inlineStr">
        <is>
          <t>制約は銅箔ではなく Q3 の 3 本のソースパッド（0.85 × 0.50 mm × 3）で、パッケージ由来。銅箔側に改善余地はない</t>
        </is>
      </c>
    </row>
    <row r="78" ht="46.5" customHeight="1">
      <c r="A78" s="51" t="inlineStr">
        <is>
          <t>【撤回】Vout ベタの最狭部 16.24 mm</t>
        </is>
      </c>
      <c r="B78" s="51" t="inlineStr">
        <is>
          <t>誤りだったため撤回。16.22 mm は Vout ゾーンの「入り口の行」（高さ 1.1 mm、y 99.9 がアウトライン下端、Q3 のソースピンが y 99.22）の幅で、y 96.8 では 35.2 mm に広がる</t>
        </is>
      </c>
      <c r="C78" s="51" t="inlineStr">
        <is>
          <t>当初「30A で ΔT 32℃」と報告したが、断面ではなく 1 行だけを幅と読んでいた。正しい評価は上記の経路抵抗 1.024 mΩ</t>
        </is>
      </c>
    </row>
    <row r="79" ht="61" customHeight="1">
      <c r="A79" s="51" t="inlineStr">
        <is>
          <t>熱抵抗（パッド→周囲）</t>
        </is>
      </c>
      <c r="B79" s="51" t="inlineStr">
        <is>
          <t>Q1 26.1 ／ Q2 25.9 ／ Q3 23.9 ／ R11 27.3 K/W。初版はそれぞれ 29.1 / 28.4 / 24.0 / 27.4 K/W</t>
        </is>
      </c>
      <c r="C79" s="51" t="inlineStr">
        <is>
          <t>裏面 VBUS 放熱ベタの拡大（29.0 × 29.0 mm、783.2 mm²、1 ポリゴン）で Q1 / Q2 が 2.5〜3.0 K/W 改善。Q3 と R11 は元から専用ベタが広いため変化なし</t>
        </is>
      </c>
    </row>
    <row r="80" ht="61" customHeight="1">
      <c r="A80" s="51" t="inlineStr">
        <is>
          <t>放熱ベタと Q1 / Q2 タブの重なり</t>
        </is>
      </c>
      <c r="B80" s="51" t="inlineStr">
        <is>
          <t>裏面 VBUS ベタの全幅区間（29.02 mm）は y 92.6 〜 114.0。Q1 / Q2 のタブは y 110.55〜114.95 で、ほぼ全体が全幅区間の内側</t>
        </is>
      </c>
      <c r="C80" s="51" t="inlineStr">
        <is>
          <t>タブ直下に全幅の銅があることが熱抵抗改善の実体。クリアランス確保のためアウトラインを 0.5 mm/辺 縮めても、この重なりは失われていない</t>
        </is>
      </c>
    </row>
    <row r="81" ht="61" customHeight="1">
      <c r="A81" s="51" t="inlineStr">
        <is>
          <t>熱解析の条件</t>
        </is>
      </c>
      <c r="B81" s="51" t="inlineStr">
        <is>
          <t>銅箔の面内熱伝導 ＋ FR4 の板厚方向伝導 ＋ 両面 8 W/m²K の自然対流。パッケージの R_θJC（BSC028N06NS 0.9 K/W typ・1.5 K/W max）は含まない</t>
        </is>
      </c>
      <c r="C81" s="51" t="inlineStr">
        <is>
          <t>損失 2.25 W でも接合部はケースより 3.4℃ 高いだけなので、上表はパッケージ表面温度の予測値として使える。高温域では放射と対流の強化で実効値はこれより下がる</t>
        </is>
      </c>
    </row>
    <row r="82" ht="90" customHeight="1">
      <c r="A82" s="51" t="inlineStr">
        <is>
          <t>ゾーン間クリアランス</t>
        </is>
      </c>
      <c r="B82" s="51" t="inlineStr">
        <is>
          <t>全ペアで 0.980〜1.000 mm。B.VBUS_heat_dissipation ↔ GND_AC は 0.984 mm</t>
        </is>
      </c>
      <c r="C82" s="51" t="inlineStr">
        <is>
          <t>指示「高圧ベタどうしの境界は 1.0mm」を満たす。VBUS ベタのローカルクリアランスを 1.0 mm にし、同時にアウトラインを 1 辺あたり 0.5 mm 内側に縮めることで実現した（クリアランスだけ広げても GND ベタが同じ分広がって隙間が変わらない）</t>
        </is>
      </c>
    </row>
    <row r="83" ht="46.5" customHeight="1">
      <c r="A83" s="51" t="inlineStr">
        <is>
          <t>一点接続（C5）</t>
        </is>
      </c>
      <c r="B83" s="51" t="inlineStr">
        <is>
          <t>C5 の GND パッド（132.02, 106.96）直下に 1.0/0.5 mm ビア 8 本。ゾーン接続はソリッド。カット試験でこの 8 本が唯一のブリッジであることを確認（取り除くと AC 島と DC 島が完全に分断される）</t>
        </is>
      </c>
      <c r="C83" s="51" t="inlineStr">
        <is>
          <t>指示「ビアを 8 本以上、ソリッド接続、パッド内ビアは使わない」を満たす。8 本で約 0.15 mΩ</t>
        </is>
      </c>
    </row>
    <row r="84" ht="32" customHeight="1">
      <c r="A84" s="51" t="inlineStr">
        <is>
          <t>ネット衝突</t>
        </is>
      </c>
      <c r="B84" s="51" t="inlineStr">
        <is>
          <t>0 件</t>
        </is>
      </c>
      <c r="C84" s="51" t="inlineStr">
        <is>
          <t>塗りつぶし後の銅箔が他ネットのパッド／配線と接触していないことの確認</t>
        </is>
      </c>
    </row>
    <row r="85" ht="61" customHeight="1">
      <c r="A85" s="51" t="inlineStr">
        <is>
          <t>クリアランス監査</t>
        </is>
      </c>
      <c r="B85" s="51" t="inlineStr">
        <is>
          <t>残る 1 件は IC6.7 ↔ MCU_NRST ビア (107.89, 84.31) の 0.200 mm（要求 0.200 mm、ちょうど下限）。ほかはパッケージ由来 36 組のみ</t>
        </is>
      </c>
      <c r="C85" s="51" t="inlineStr">
        <is>
          <t>パッケージ由来はランドパターンが下限を決めている箇所（Q3 の SON 5×6、C3 / C4 の 0603 など）で対応不要。下限ちょうどの 1 件は実害なしと判断</t>
        </is>
      </c>
    </row>
    <row r="86" ht="46.5" customHeight="1">
      <c r="A86" s="51" t="inlineStr">
        <is>
          <t>ゾーンのサーマルリリーフ</t>
        </is>
      </c>
      <c r="B86" s="51" t="inlineStr">
        <is>
          <t>面積 2 mm² 以上の電源／GND パッドはすべてソリッド接続。C27 を最終版でソリッドに変更して残件 0</t>
        </is>
      </c>
      <c r="C86" s="51" t="inlineStr">
        <is>
          <t>大面積パッドをサーマルリリーフにすると、ブリッジの実体が幅 0.5 mm のスポーク 4 本になる</t>
        </is>
      </c>
    </row>
    <row r="87" ht="75.5" customHeight="1">
      <c r="A87" s="51" t="inlineStr">
        <is>
          <t>R11 のタブ絶縁</t>
        </is>
      </c>
      <c r="B87" s="51" t="inlineStr">
        <is>
          <t>C&amp;B RESI TPAN0263F200RK9 は端子−フランジ間 2000 VAC、絶縁抵抗 10 MΩ 以上。フランジを GND ベタに接続する実装は電気的に安全</t>
        </is>
      </c>
      <c r="C87" s="51" t="inlineStr">
        <is>
          <t>放熱経路としてフランジを使える。ただし熱抵抗 27.3 K/W では 5.2 W の連続導通で平衡が 周囲＋142℃ となり最高使用温度 150℃ を超えるため、過熱保護は TH2（#5）とチョッパ ON 積算（#6）が担う</t>
        </is>
      </c>
    </row>
    <row r="88" ht="32" customHeight="1">
      <c r="A88" s="51" t="inlineStr">
        <is>
          <t>ビアの構成</t>
        </is>
      </c>
      <c r="B88" s="51" t="inlineStr">
        <is>
          <t>0.6/0.3 mm 約 312 本、1.0/0.5 mm 9 本</t>
        </is>
      </c>
      <c r="C88" s="51" t="inlineStr">
        <is>
          <t>JLCPCB 2 層の最小値（穴 0.30 mm、外径 0.50 mm、アニュラリング 0.13 mm）を満たす</t>
        </is>
      </c>
    </row>
    <row r="89" ht="220.5" customHeight="1">
      <c r="A89" s="55" t="inlineStr">
        <is>
          <t>Q1 / Q2 / Q3 の部品変更</t>
        </is>
      </c>
      <c r="B89" s="55" t="inlineStr">
        <is>
          <t>CSD18540Q5B（TI、VSON-CLIP-8 5×6）→ BSC028N06NS（Infineon、PG-TDSON-8 / SuperSO8、LCSC C148250）。ピン配置は S 1-3 / G 4 / D 5-8（露出パッド）で基板と一致。基板のランドは 1-4 ピン 0.85 × 0.50mm・ピッチ 1.27mm・外側パッド ±1.905mm・列中心 x = −2.900、ドレイン 4.55 × 4.41mm。Infineon の推奨ランド（データシート Figure 2）はピッチ 1.27mm・1.905mm・リード列 約 2.863mm・ドレイン 約 4.455mm で一致する</t>
        </is>
      </c>
      <c r="C89" s="55" t="inlineStr">
        <is>
          <t>TI 品が LCSC で在庫 0（2026-10-14）。一度 onsemi NTMFS5C628NLT1G（C145537）を選定したが、SO-8FL のランドパターンが TDSON-8-1 と合わず JLCPCB のアセンブリプレビューで部品が正しく載らなかったため撤回した。KiCad の TDSON-8-1 は Infineon の PG-TDSON-8 用に描かれたものなので、同パッケージの品種を選べば幾何学的に一致が保証される。Rds_on 2.5 typ / 2.8 max mΩ @10V、Ciss 2700pF typ（候補 3 品種で最小）、Qg 37nC typ（同）、Vgs ±20V。★ 末尾に SC が付く BSC028N06NSSC（LCSC C534317）は PG-VSON-8 で露出パッドがソースの別品種。これを載せると Q3 では Vout が、Q1 / Q2 ではバッテリ正極が裏面 VBUS 放熱ベタに直結するため絶対に使わないこと</t>
        </is>
      </c>
    </row>
    <row r="90" ht="32" customHeight="1"/>
    <row r="91" ht="46.5" customHeight="1">
      <c r="A91" s="52" t="inlineStr">
        <is>
          <t>■ 検証方法についての注記：寸法とクリアランスの一次情報は .kicad_pcb とし、gerber 画像からの読み取りは使わない。初版レビューで「表面 VBUS ゾーンに 3.70 mm の狭窄がある」と報告したが、.kicad_pcb では同じ行が 4.60 ＋ 17.84 mm であり、画像の読み取り誤りだった（撤回済み）。</t>
        </is>
      </c>
    </row>
    <row r="92" ht="32" customHeight="1">
      <c r="A92" s="52" t="inlineStr">
        <is>
          <t>■ スルーホールパッドの座標の扱い：KiCad の THT パッドでは (at) は穴のアンカーで、銅のパッド中心は at ＋ ドリルオフセットになる。これを取り違えると J1.2 と F1.2 が 0.443 mm² 重なって見える（＝バッテリ 1 の正負短絡）が、正しく計算すると隙間は 1.102 mm で、DRC 0 件・実物の写真とも一致する。本基板でドリルオフセットを持つのは J1 / J2 / J3（XT60PW）の 6 パッドのみ。</t>
        </is>
      </c>
    </row>
    <row r="93" ht="32" customHeight="1">
      <c r="A93" s="52" t="inlineStr">
        <is>
          <t>■ 同様に、フットプリント回転時のパッド座標は x = fx + dx·cosθ + dy·sinθ、y = fy − dx·sinθ + dy·cosθ、パッドの (at x y a) の a は絶対角（フットプリント回転が折り込み済み）である。符号を誤ると ±90° のフットプリントのパッドが鏡像になり、存在しない狭窄が見える。</t>
        </is>
      </c>
    </row>
    <row r="94">
      <c r="A94" s="52" t="inlineStr">
        <is>
          <t>■ ゾーンのローカルクリアランスは (connect_pads (clearance X)) の中に直列化される（ゾーン直下の (clearance) ではない）。island_removal_mode 0 は「孤立島を常に除去」なので、塗りつぶし後に残っている銅片は必ず電気的に接続されている。</t>
        </is>
      </c>
    </row>
  </sheetData>
  <mergeCells count="22">
    <mergeCell ref="A25:C25"/>
    <mergeCell ref="A66:C66"/>
    <mergeCell ref="A21:C21"/>
    <mergeCell ref="A71:C71"/>
    <mergeCell ref="A47:C47"/>
    <mergeCell ref="A23:C23"/>
    <mergeCell ref="A22:C22"/>
    <mergeCell ref="A62:C62"/>
    <mergeCell ref="A91:C91"/>
    <mergeCell ref="A29:C29"/>
    <mergeCell ref="A28:C28"/>
    <mergeCell ref="A68:C68"/>
    <mergeCell ref="A63:C63"/>
    <mergeCell ref="A93:C93"/>
    <mergeCell ref="A67:C67"/>
    <mergeCell ref="A92:C92"/>
    <mergeCell ref="A48:C48"/>
    <mergeCell ref="A24:C24"/>
    <mergeCell ref="A64:C64"/>
    <mergeCell ref="A60:C60"/>
    <mergeCell ref="A94:C94"/>
    <mergeCell ref="A65:C65"/>
  </mergeCells>
  <printOptions horizontalCentered="0"/>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D21"/>
  <sheetViews>
    <sheetView workbookViewId="0">
      <pane ySplit="4" topLeftCell="A5" activePane="bottomLeft" state="frozen"/>
      <selection pane="bottomLeft" activeCell="A1" sqref="A1"/>
    </sheetView>
  </sheetViews>
  <sheetFormatPr baseColWidth="8" defaultRowHeight="15"/>
  <cols>
    <col width="30" customWidth="1" min="1" max="1"/>
    <col width="34" customWidth="1" min="2" max="2"/>
    <col width="20" customWidth="1" min="3" max="3"/>
    <col width="46" customWidth="1" min="4" max="4"/>
  </cols>
  <sheetData>
    <row r="1">
      <c r="A1" s="1" t="inlineStr">
        <is>
          <t>故障モード検証</t>
        </is>
      </c>
    </row>
    <row r="2" ht="28" customHeight="1">
      <c r="A2" s="2" t="inlineStr">
        <is>
          <t>設計の妥当性確認用。各故障で出力が安全側に倒れるかを整理。</t>
        </is>
      </c>
    </row>
    <row r="3"/>
    <row r="4" ht="28" customHeight="1">
      <c r="A4" s="4" t="inlineStr">
        <is>
          <t>故障</t>
        </is>
      </c>
      <c r="B4" s="4" t="inlineStr">
        <is>
          <t>挙動</t>
        </is>
      </c>
      <c r="C4" s="4" t="inlineStr">
        <is>
          <t>判定</t>
        </is>
      </c>
      <c r="D4" s="4" t="inlineStr">
        <is>
          <t>備考</t>
        </is>
      </c>
    </row>
    <row r="5" ht="32" customHeight="1">
      <c r="A5" s="17" t="inlineStr">
        <is>
          <t>マイコン未書込み</t>
        </is>
      </c>
      <c r="B5" s="8" t="inlineStr">
        <is>
          <t>GPIO が Hi-Z → Q6 ゲートが 93ms で上昇 → 遮断</t>
        </is>
      </c>
      <c r="C5" s="36" t="inlineStr">
        <is>
          <t>安全</t>
        </is>
      </c>
      <c r="D5" s="8" t="inlineStr">
        <is>
          <t>基板は書き込むまで通電しない</t>
        </is>
      </c>
    </row>
    <row r="6" ht="32" customHeight="1">
      <c r="A6" s="17" t="inlineStr">
        <is>
          <t>マイコン死亡（クロック停止等）</t>
        </is>
      </c>
      <c r="B6" s="8" t="inlineStr">
        <is>
          <t>同上</t>
        </is>
      </c>
      <c r="C6" s="36" t="inlineStr">
        <is>
          <t>安全</t>
        </is>
      </c>
      <c r="D6" s="8" t="inlineStr"/>
    </row>
    <row r="7" ht="32" customHeight="1">
      <c r="A7" s="17" t="inlineStr">
        <is>
          <t>マイコンのハング（IWDG リセットループ）</t>
        </is>
      </c>
      <c r="B7" s="8" t="inlineStr">
        <is>
          <t>#11 で 3 回検出してラッチ</t>
        </is>
      </c>
      <c r="C7" s="36" t="inlineStr">
        <is>
          <t>安全</t>
        </is>
      </c>
      <c r="D7" s="8" t="inlineStr">
        <is>
          <t>C20 のライドスルーで通電が切れないため #11 が必須</t>
        </is>
      </c>
    </row>
    <row r="8" ht="32" customHeight="1">
      <c r="A8" s="17" t="inlineStr">
        <is>
          <t>ファームの短時間リセット（2ms）</t>
        </is>
      </c>
      <c r="B8" s="8" t="inlineStr">
        <is>
          <t>Q6 ゲートは 65mV までしか上がらない</t>
        </is>
      </c>
      <c r="C8" s="36" t="inlineStr">
        <is>
          <t>継続</t>
        </is>
      </c>
      <c r="D8" s="8" t="inlineStr">
        <is>
          <t>意図どおり</t>
        </is>
      </c>
    </row>
    <row r="9" ht="32" customHeight="1">
      <c r="A9" s="17" t="inlineStr">
        <is>
          <t>3.3V レールの喪失</t>
        </is>
      </c>
      <c r="B9" s="8" t="inlineStr">
        <is>
          <t>Q6 ゲートも EN_SRC も失われ EN = 0V</t>
        </is>
      </c>
      <c r="C9" s="36" t="inlineStr">
        <is>
          <t>安全</t>
        </is>
      </c>
      <c r="D9" s="8" t="inlineStr">
        <is>
          <t>ENBIAS 6µA が EN を Low に保持</t>
        </is>
      </c>
    </row>
    <row r="10" ht="32" customHeight="1">
      <c r="A10" s="17" t="inlineStr">
        <is>
          <t>J4 ハーネス断線</t>
        </is>
      </c>
      <c r="B10" s="8" t="inlineStr">
        <is>
          <t>EN_SRC が切れ、EN は R40 で GND へ</t>
        </is>
      </c>
      <c r="C10" s="36" t="inlineStr">
        <is>
          <t>安全</t>
        </is>
      </c>
      <c r="D10" s="8" t="inlineStr">
        <is>
          <t>約 266µs（R40 2.2kΩ × C12 100nF、2.68V → ENTHL 0.8V）</t>
        </is>
      </c>
    </row>
    <row r="11" ht="32" customHeight="1">
      <c r="A11" s="17" t="inlineStr">
        <is>
          <t>J4 ハーネスの GND 短絡</t>
        </is>
      </c>
      <c r="B11" s="8" t="inlineStr">
        <is>
          <t>EN が GND に落ちる</t>
        </is>
      </c>
      <c r="C11" s="36" t="inlineStr">
        <is>
          <t>安全</t>
        </is>
      </c>
      <c r="D11" s="8" t="inlineStr"/>
    </row>
    <row r="12" ht="32" customHeight="1">
      <c r="A12" s="17" t="inlineStr">
        <is>
          <t>J4 ハーネスの Vout 短絡</t>
        </is>
      </c>
      <c r="B12" s="42" t="inlineStr">
        <is>
          <t>EN に Vout が加わるが、D8（5V ESD）が先にクランプして電流を全部引き受ける。EN 絶対最大 75V、Q6 Vds 50V</t>
        </is>
      </c>
      <c r="C12" s="36" t="inlineStr">
        <is>
          <t>許容</t>
        </is>
      </c>
      <c r="D12" s="42" t="inlineStr">
        <is>
          <t>F3（PPTC、保持 100mA）が電流を制限し数秒でトリップ。その間 Q6 のドレイン電位が 0.8〜2.0V に入り遮断動作が不定になるが一過性。★ D8 はこの間クランプ電圧 9V 付近で 100mA＝約 0.9W を負担するため、ESD ダイオード（150mW 級）では持たずに破壊される。ショート故障なら EN が Low に固定されて遮断（安全側）、オープン故障なら R40 1206 が 29.4V を受けて 0.39W（定格 0.25W）で発煙の恐れ。いずれにせよ D8 は犠牲部品と位置づけ、ハーネス短絡の後は交換すること。v2.1.1 の BZT52C3V9（200mW）でも同じで、退行ではない</t>
        </is>
      </c>
    </row>
    <row r="13" ht="32" customHeight="1">
      <c r="A13" s="17" t="inlineStr">
        <is>
          <t>NTC 断線 / コネクタ外れ</t>
        </is>
      </c>
      <c r="B13" s="8" t="inlineStr">
        <is>
          <t>ADC が 3.3V → センサ異常として #7 でラッチ</t>
        </is>
      </c>
      <c r="C13" s="36" t="inlineStr">
        <is>
          <t>安全</t>
        </is>
      </c>
      <c r="D13" s="8" t="inlineStr"/>
    </row>
    <row r="14" ht="32" customHeight="1">
      <c r="A14" s="17" t="inlineStr">
        <is>
          <t>NTC 短絡</t>
        </is>
      </c>
      <c r="B14" s="8" t="inlineStr">
        <is>
          <t>ADC が 0V → #7 でラッチ</t>
        </is>
      </c>
      <c r="C14" s="36" t="inlineStr">
        <is>
          <t>安全</t>
        </is>
      </c>
      <c r="D14" s="8" t="inlineStr"/>
    </row>
    <row r="15" ht="32" customHeight="1">
      <c r="A15" s="17" t="inlineStr">
        <is>
          <t>R30 / R31 断線</t>
        </is>
      </c>
      <c r="B15" s="8" t="inlineStr">
        <is>
          <t>ADC が 0V → #7 でラッチ</t>
        </is>
      </c>
      <c r="C15" s="36" t="inlineStr">
        <is>
          <t>安全</t>
        </is>
      </c>
      <c r="D15" s="8" t="inlineStr"/>
    </row>
    <row r="16" ht="32" customHeight="1">
      <c r="A16" s="17" t="inlineStr">
        <is>
          <t>Q6 のドレイン−ソース短絡</t>
        </is>
      </c>
      <c r="B16" s="8" t="inlineStr">
        <is>
          <t>EN が常時 Low</t>
        </is>
      </c>
      <c r="C16" s="36" t="inlineStr">
        <is>
          <t>安全</t>
        </is>
      </c>
      <c r="D16" s="8" t="inlineStr">
        <is>
          <t>通電できなくなる</t>
        </is>
      </c>
    </row>
    <row r="17" ht="32" customHeight="1">
      <c r="A17" s="17" t="inlineStr">
        <is>
          <t>Q6 のオープン故障</t>
        </is>
      </c>
      <c r="B17" s="8" t="inlineStr">
        <is>
          <t>EN を引けず遮断できない</t>
        </is>
      </c>
      <c r="C17" s="36" t="inlineStr">
        <is>
          <t>危険</t>
        </is>
      </c>
      <c r="D17" s="8" t="inlineStr">
        <is>
          <t>単一故障。#5 / #6 では代替できない。v2.4 で独立バックストップを検討</t>
        </is>
      </c>
    </row>
    <row r="18" ht="32" customHeight="1">
      <c r="A18" s="17" t="inlineStr">
        <is>
          <t>LMR16006 の故障（出力喪失）</t>
        </is>
      </c>
      <c r="B18" s="8" t="inlineStr">
        <is>
          <t>3.3V 喪失 → EN = 0V</t>
        </is>
      </c>
      <c r="C18" s="36" t="inlineStr">
        <is>
          <t>安全</t>
        </is>
      </c>
      <c r="D18" s="8" t="inlineStr"/>
    </row>
    <row r="19" ht="32" customHeight="1">
      <c r="A19" s="17" t="inlineStr">
        <is>
          <t>LMR16006 の故障（出力過電圧）</t>
        </is>
      </c>
      <c r="B19" s="8" t="inlineStr">
        <is>
          <t>マイコンが破壊される可能性</t>
        </is>
      </c>
      <c r="C19" s="36" t="inlineStr">
        <is>
          <t>危険</t>
        </is>
      </c>
      <c r="D19" s="8" t="inlineStr">
        <is>
          <t>発生率は低い。気になるなら 3.3V レールに 3.6V TVS を追加（v2.4 検討事項）</t>
        </is>
      </c>
    </row>
    <row r="20" ht="46" customHeight="1">
      <c r="A20" s="17" t="inlineStr">
        <is>
          <t>出力（Vout − GND）の短絡</t>
        </is>
      </c>
      <c r="B20" s="8" t="inlineStr">
        <is>
          <t>上流の容量が Q3 を通って放電（ピーク 900〜1300A、約50µs）。D12 が Vgs をクランプし、#13 が 2ms で遮断</t>
        </is>
      </c>
      <c r="C20" s="36" t="inlineStr">
        <is>
          <t>安全（R51 / D12 あり）</t>
        </is>
      </c>
      <c r="D20" s="8" t="inlineStr">
        <is>
          <t>2026-10-08 に v2.1.1 でこの故障により Q3 のゲート酸化膜が破壊された。電源の電流制限（4A）は無関係で、上流コンデンサの電荷が原因。R51 / D12 が無いと Vgs が定格 ±20V を超える</t>
        </is>
      </c>
    </row>
    <row r="21" ht="42" customHeight="1">
      <c r="A21" s="17" t="inlineStr">
        <is>
          <t>Q3 のドレイン−ソース間短絡</t>
        </is>
      </c>
      <c r="B21" s="8" t="inlineStr">
        <is>
          <t>Vout が常時 VBUS。EN では切れない</t>
        </is>
      </c>
      <c r="C21" s="36" t="inlineStr">
        <is>
          <t>危険</t>
        </is>
      </c>
      <c r="D21" s="8" t="inlineStr">
        <is>
          <t>バッテリを外す以外に出力を切る手段がなくなる。マイコンは Vout センスで検出できるが遮断はできない。#8（PA5 = H なのに Vout が落ちない）で検出して LED3 で警告する</t>
        </is>
      </c>
    </row>
  </sheetData>
  <printOptions horizontalCentered="0"/>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D25"/>
  <sheetViews>
    <sheetView workbookViewId="0">
      <pane ySplit="4" topLeftCell="A5" activePane="bottomLeft" state="frozen"/>
      <selection pane="bottomLeft" activeCell="A1" sqref="A1"/>
    </sheetView>
  </sheetViews>
  <sheetFormatPr baseColWidth="8" defaultRowHeight="15"/>
  <cols>
    <col width="26" customWidth="1" min="1" max="1"/>
    <col width="20" customWidth="1" min="2" max="2"/>
    <col width="34" customWidth="1" min="3" max="3"/>
    <col width="46" customWidth="1" min="4" max="4"/>
  </cols>
  <sheetData>
    <row r="1">
      <c r="A1" s="1" t="inlineStr">
        <is>
          <t>未確定事項</t>
        </is>
      </c>
    </row>
    <row r="2" ht="32" customHeight="1">
      <c r="A2" s="2" t="inlineStr">
        <is>
          <t>①（v2.1.1 実機試験）および v3.0.0 基板の実機試験で確定する項目。設計自体はこれらに依存せず進められます。試験番号は試験記録シート v3.0.0 のものです（2026-10-14 更新）。</t>
        </is>
      </c>
    </row>
    <row r="3"/>
    <row r="4" ht="28" customHeight="1">
      <c r="A4" s="4" t="inlineStr">
        <is>
          <t>項目</t>
        </is>
      </c>
      <c r="B4" s="4" t="inlineStr">
        <is>
          <t>暫定値</t>
        </is>
      </c>
      <c r="C4" s="4" t="inlineStr">
        <is>
          <t>確定の根拠となる試験</t>
        </is>
      </c>
      <c r="D4" s="4" t="inlineStr">
        <is>
          <t>影響範囲</t>
        </is>
      </c>
    </row>
    <row r="5" ht="32" customHeight="1">
      <c r="A5" s="51" t="inlineStr">
        <is>
          <t>T_trip（TH1 遮断点）</t>
        </is>
      </c>
      <c r="B5" s="54" t="inlineStr">
        <is>
          <t>95 ℃</t>
        </is>
      </c>
      <c r="C5" s="51" t="inlineStr">
        <is>
          <t>7-4 通常走行時の TH1 温度 ／ 7-2 / 7-3 の Q1 / Q3 温度との差</t>
        </is>
      </c>
      <c r="D5" s="51" t="inlineStr">
        <is>
          <t>ファームの定数のみ。ハードは変更不要</t>
        </is>
      </c>
    </row>
    <row r="6" ht="133.5" customHeight="1">
      <c r="A6" s="51" t="inlineStr">
        <is>
          <t>T_hard（即時遮断点）</t>
        </is>
      </c>
      <c r="B6" s="54" t="inlineStr">
        <is>
          <t>115 ℃</t>
        </is>
      </c>
      <c r="C6" s="51" t="inlineStr">
        <is>
          <t>7-5 / 7-6 / 7-7 ストール時の Q1 / Q3 − TH1 オフセット</t>
        </is>
      </c>
      <c r="D6" s="51" t="inlineStr">
        <is>
          <t>ファームの定数のみ。ハードは変更不要。なお Q1 − TH1 オフセットの仮定値 ＋29℃ は過大で、TH1 は Q1 / Q2 / Q3 の各ドレインパッドから約 1mm にあり、実測検証した熱抵抗（Q1 26.1 K/W）とストール時の損失 0.44 W では Q1 の上昇自体が ＋11℃ 程度にしかならない。7-5 / 7-7 の実測が 5〜10℃ に収まれば T_trip を上げられる。★ 単一パックで 25A を流す最悪条件では Q1 が ＋49℃ になるため、T_hard はこちらを基準に決めること</t>
        </is>
      </c>
    </row>
    <row r="7" ht="90" customHeight="1">
      <c r="A7" s="51" t="inlineStr">
        <is>
          <t>TH2 の遮断点</t>
        </is>
      </c>
      <c r="B7" s="54" t="inlineStr">
        <is>
          <t>110 ℃</t>
        </is>
      </c>
      <c r="C7" s="51" t="inlineStr">
        <is>
          <t>7-10 / 7-11 / 7-13 R11 の温度プロファイルと TH2 の応答遅れ</t>
        </is>
      </c>
      <c r="D7" s="51" t="inlineStr">
        <is>
          <t>ファームの定数のみ。実測検証した R11 の熱抵抗 27.3 K/W では 5.2 W の連続導通で平衡が 周囲＋142℃ となり最高使用温度 150℃ を超えるため、TH2 による遮断は必須。TH2 は R11 から 5mm 離して配置してあるので、R11 のフランジ温度との差（7-10 − 7-11）を見て遮断点を決める</t>
        </is>
      </c>
    </row>
    <row r="8" ht="32" customHeight="1">
      <c r="A8" s="51" t="inlineStr">
        <is>
          <t>チョッパ ON 積算の閾値</t>
        </is>
      </c>
      <c r="B8" s="54" t="inlineStr">
        <is>
          <t>未定</t>
        </is>
      </c>
      <c r="C8" s="51" t="inlineStr">
        <is>
          <t>9-6 / 9-7 / 9-12 回生プロファイルと積算増分</t>
        </is>
      </c>
      <c r="D8" s="51" t="inlineStr">
        <is>
          <t>同上</t>
        </is>
      </c>
    </row>
    <row r="9" ht="17.5" customHeight="1">
      <c r="A9" s="51" t="inlineStr">
        <is>
          <t>R11 の値</t>
        </is>
      </c>
      <c r="B9" s="54" t="inlineStr">
        <is>
          <t>200 Ω</t>
        </is>
      </c>
      <c r="C9" s="51" t="inlineStr">
        <is>
          <t>9-6 / 9-7 回生プロファイル</t>
        </is>
      </c>
      <c r="D9" s="51" t="inlineStr">
        <is>
          <t>部品値。基板パターンは変更不要（TO-263 のまま）</t>
        </is>
      </c>
    </row>
    <row r="10" ht="75.5" customHeight="1">
      <c r="A10" s="39" t="inlineStr">
        <is>
          <t>J5 の I2C プルアップ R52 / R53</t>
        </is>
      </c>
      <c r="B10" s="39" t="inlineStr">
        <is>
          <t>4.7 kΩ</t>
        </is>
      </c>
      <c r="C10" s="39" t="inlineStr">
        <is>
          <t>v2.4 で外部センサーを接続する際のケーブル長とバス容量の実測</t>
        </is>
      </c>
      <c r="D10" s="39" t="inlineStr">
        <is>
          <t>部品値のみ。t_r ≒ 0.85 × R × C より、4.7kΩ での許容バス容量は 100kHz で約 250pF、400kHz で約 75pF。ケーブルは 50〜100pF/m あるため 1m 引くと 400kHz は成立しない。100kHz に落とすか 1.5〜2.2kΩ に下げる</t>
        </is>
      </c>
    </row>
    <row r="11"/>
    <row r="12" ht="17.5" customHeight="1">
      <c r="A12" s="52" t="inlineStr">
        <is>
          <t>※ 上表はいずれもファームウェアの定数か部品値であり、回路図・基板図の作図や発注を止める理由にはなりません。</t>
        </is>
      </c>
    </row>
    <row r="13" ht="32" customHeight="1">
      <c r="A13" s="52" t="inlineStr">
        <is>
          <t>※ R52 / R53 は v3.0.0 では J5 に何も接続しないため影響しません。基板上に実装しておき、v2.4 で外部センサーの構成が決まった時点で値を見直してください。パターン変更は不要です。</t>
        </is>
      </c>
    </row>
    <row r="14"/>
    <row r="15">
      <c r="A15" s="56" t="inlineStr">
        <is>
          <t>v3.0.0 で確定した項目（旧「未確定事項」からの移動）</t>
        </is>
      </c>
    </row>
    <row r="16">
      <c r="A16" s="50" t="inlineStr">
        <is>
          <t>項目</t>
        </is>
      </c>
      <c r="B16" s="50" t="inlineStr">
        <is>
          <t>確定値</t>
        </is>
      </c>
      <c r="C16" s="50" t="inlineStr">
        <is>
          <t>確定の経緯</t>
        </is>
      </c>
      <c r="D16" s="50" t="inlineStr">
        <is>
          <t>影響範囲</t>
        </is>
      </c>
    </row>
    <row r="17" ht="206" customHeight="1">
      <c r="A17" s="55" t="inlineStr">
        <is>
          <t>Q1〜Q3 / L2 / D8 / D10 / D11 / Q6 等の LCSC 品番</t>
        </is>
      </c>
      <c r="B17" s="55" t="inlineStr">
        <is>
          <t>Q1 / Q2 / Q3 BSC028N06NS C148250（Infineon、CSD18540Q5B が在庫 0 のため変更。★ SC 付きの C534317 は別品種）／L2 33µH C41413117 ／ D8 PESD5V0S1UL,315 C85402 ／ D10 MDD SS210 C14996 ／ D11 R+O BAT46W C7420332 ／ Q6 BSS138 C7420339 ／ C27 2.2µF 100V X7R 1210 C153036 ／ C30 22µF 16V X5R 0603 C22367828</t>
        </is>
      </c>
      <c r="C17" s="55" t="inlineStr">
        <is>
          <t>2026-10-14 に LCSC の在庫・価格・データシートを全点確認して確定。JP1（基板パターンのみ・実装なし）を除き、BOM の LCSC 欄はすべて埋まった。★ 同一型番で売られている Asian Brands 品は Qg が TI 品の 2〜2.5 倍あるため使用しない</t>
        </is>
      </c>
      <c r="D17" s="55" t="inlineStr">
        <is>
          <t>BOM のみ。基板図・回路図のパターン変更なし。回路図の Value フィールドは要変更</t>
        </is>
      </c>
    </row>
    <row r="18" ht="133.5" customHeight="1">
      <c r="A18" s="55" t="inlineStr">
        <is>
          <t>R11 のタブ電位</t>
        </is>
      </c>
      <c r="B18" s="55" t="inlineStr">
        <is>
          <t>タブは絶縁（端子−フランジ間 2000 VAC、絶縁抵抗 10 MΩ 以上）。GND ベタへの接続は安全</t>
        </is>
      </c>
      <c r="C18" s="55" t="inlineStr">
        <is>
          <t>C&amp;B RESI TPAN0263F200RK9 のデータシートで確認。放熱経路としてフランジを GND ベタに接続する現行の実装が妥当であることが確定した</t>
        </is>
      </c>
      <c r="D18" s="55" t="inlineStr">
        <is>
          <t>レイアウトの妥当性確認のみ。変更なし</t>
        </is>
      </c>
    </row>
    <row r="19" ht="61" customHeight="1">
      <c r="A19" s="55" t="inlineStr">
        <is>
          <t>C27 のサイズ</t>
        </is>
      </c>
      <c r="B19" s="55" t="inlineStr">
        <is>
          <t>1210（2.2µF / 100V X7R）</t>
        </is>
      </c>
      <c r="C19" s="55" t="inlineStr">
        <is>
          <t>100V X7R の 2.2µF は 1206 では実用的な在庫がないため 1210 に変更。基板図を修正済み（ゾーン接続もソリッドに変更）</t>
        </is>
      </c>
      <c r="D19" s="55" t="inlineStr">
        <is>
          <t>基板図（修正済み）と BOM</t>
        </is>
      </c>
    </row>
    <row r="20" ht="61" customHeight="1">
      <c r="A20" s="55" t="inlineStr">
        <is>
          <t>C31 / C32 の耐圧</t>
        </is>
      </c>
      <c r="B20" s="55" t="inlineStr">
        <is>
          <t>50V 品</t>
        </is>
      </c>
      <c r="C20" s="55" t="inlineStr">
        <is>
          <t>+3V3 系のデカップリングで 100V は不要。回路図のテキストを修正</t>
        </is>
      </c>
      <c r="D20" s="55" t="inlineStr">
        <is>
          <t>回路図のテキストと BOM</t>
        </is>
      </c>
    </row>
    <row r="21" ht="32" customHeight="1">
      <c r="A21" s="55" t="inlineStr">
        <is>
          <t>ブリングアップ時の EN の扱い</t>
        </is>
      </c>
      <c r="B21" s="55" t="inlineStr">
        <is>
          <t>JP1（基板パターンのみ、pad1 = GND / pad2 = EN_GATE）をはんだブリッジする</t>
        </is>
      </c>
      <c r="C21" s="55" t="inlineStr">
        <is>
          <t>マイコン未書込みでは GPIO が Hi-Z のため R42 1MΩ が EN_GATE を +3V3 へ引き上げ、Q6 が ON になって EN が落ち Vout が出ない（設計どおりのフェイルセーフ）。JP1 をブリッジすると EN_GATE が GND に固定され Q6 が強制 OFF になり、ファームウェア無しで電源部を単体検証できる。★ 書込み後は必ず開放に戻すこと（ブリッジしたままではマイコンの遮断が一切効かない）</t>
        </is>
      </c>
      <c r="D21" s="55" t="inlineStr">
        <is>
          <t>試験手順のみ。試験記録シート v3.0.0 の 0-2 / 2-4 / 2-5 / 2-6 に反映済み</t>
        </is>
      </c>
    </row>
    <row r="22" ht="148" customHeight="1"/>
    <row r="23">
      <c r="A23" s="52" t="inlineStr">
        <is>
          <t>※ 量産時の EN しきい値選別試験（v2.1.1 の 9_ENしきい値選別）は v3.0.0 では不要です。遮断点が LM5060 の EN しきい値ばらつき（0.80〜2.00V）ではなくファームウェアの定数で決まるためです。EN は運転時 2.68V と遮断時 78mV の 2 値だけを取り、どちらも ENTHH 2.00V / ENTHL 0.80V から十分離れています。</t>
        </is>
      </c>
    </row>
    <row r="24" ht="46.5" customHeight="1">
      <c r="A24" s="52" t="inlineStr">
        <is>
          <t>※ いずれもファームウェアの定数か部品値であり、回路図・基板図の作図を止める理由にはなりません。発注は 2026-10-14 時点の内容で進められます。</t>
        </is>
      </c>
    </row>
    <row r="25" ht="32" customHeight="1">
      <c r="A25" s="52" t="inlineStr">
        <is>
          <t>※ 単一故障で残っている危険側の故障モードは Q6 のオープン故障（EN を引けず遮断できない）と Q3 のドレイン−ソース短絡です。どちらも検出はできても遮断はできません。v2.4 で独立したハードウェアバックストップを検討する項目として残します（設計仕様書 8_故障モード 参照）。</t>
        </is>
      </c>
    </row>
    <row r="26" ht="32" customHeight="1"/>
  </sheetData>
  <mergeCells count="6">
    <mergeCell ref="A23:D23"/>
    <mergeCell ref="A12:D12"/>
    <mergeCell ref="A15:D15"/>
    <mergeCell ref="A25:D25"/>
    <mergeCell ref="A24:D24"/>
    <mergeCell ref="A13:D13"/>
  </mergeCells>
  <printOptions horizontalCentered="0"/>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2026-10-08T07:54:24Z</dcterms:created>
  <dcterms:modified xmlns:dcterms="http://purl.org/dc/terms/" xmlns:xsi="http://www.w3.org/2001/XMLSchema-instance" xsi:type="dcterms:W3CDTF">2026-10-14T10:45:54Z</dcterms:modified>
</cp:coreProperties>
</file>