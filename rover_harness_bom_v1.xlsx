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ピン配置図" sheetId="2" state="visible" r:id="rId4"/>
    <sheet name="購入リスト" sheetId="3" state="visible" r:id="rId5"/>
    <sheet name="ピン配置" sheetId="4" state="visible" r:id="rId6"/>
    <sheet name="条件"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<sst xmlns="http://schemas.openxmlformats.org/spreadsheetml/2006/main" count="656" uniqueCount="399">
  <si>
    <t xml:space="preserve">ローバー前後間ハーネス Ver.1：4極ハーネス（モーター用）＋14極ハーネス（信号用）の2本構成</t>
  </si>
  <si>
    <t xml:space="preserve">正式な購入リスト（Ver.1、2026-10-21）。ハーネスは1本に束ねず、モーター用と信号用の2本に分ける</t>
  </si>
  <si>
    <t xml:space="preserve">版数</t>
  </si>
  <si>
    <r>
      <rPr>
        <sz val="10"/>
        <rFont val="Arial"/>
        <family val="0"/>
        <charset val="1"/>
      </rPr>
      <t xml:space="preserve">Ver.1</t>
    </r>
    <r>
      <rPr>
        <sz val="10"/>
        <rFont val="Noto Sans CJK SC"/>
        <family val="2"/>
      </rPr>
      <t xml:space="preserve">（</t>
    </r>
    <r>
      <rPr>
        <sz val="10"/>
        <rFont val="Arial"/>
        <family val="0"/>
        <charset val="1"/>
      </rPr>
      <t xml:space="preserve">2026-10-21</t>
    </r>
    <r>
      <rPr>
        <sz val="10"/>
        <rFont val="Noto Sans CJK SC"/>
        <family val="2"/>
      </rPr>
      <t xml:space="preserve">）</t>
    </r>
  </si>
  <si>
    <t xml:space="preserve">コネクタ</t>
  </si>
  <si>
    <r>
      <rPr>
        <sz val="10"/>
        <rFont val="Arial"/>
        <family val="0"/>
        <charset val="1"/>
      </rPr>
      <t xml:space="preserve">Mini-Fit Jr. 4</t>
    </r>
    <r>
      <rPr>
        <sz val="10"/>
        <rFont val="Noto Sans CJK SC"/>
        <family val="2"/>
      </rPr>
      <t xml:space="preserve">極（</t>
    </r>
    <r>
      <rPr>
        <sz val="10"/>
        <rFont val="Arial"/>
        <family val="0"/>
        <charset val="1"/>
      </rPr>
      <t xml:space="preserve">2×2</t>
    </r>
    <r>
      <rPr>
        <sz val="10"/>
        <rFont val="Noto Sans CJK SC"/>
        <family val="2"/>
      </rPr>
      <t xml:space="preserve">）と</t>
    </r>
    <r>
      <rPr>
        <sz val="10"/>
        <rFont val="Arial"/>
        <family val="0"/>
        <charset val="1"/>
      </rPr>
      <t xml:space="preserve">14</t>
    </r>
    <r>
      <rPr>
        <sz val="10"/>
        <rFont val="Noto Sans CJK SC"/>
        <family val="2"/>
      </rPr>
      <t xml:space="preserve">極（</t>
    </r>
    <r>
      <rPr>
        <sz val="10"/>
        <rFont val="Arial"/>
        <family val="0"/>
        <charset val="1"/>
      </rPr>
      <t xml:space="preserve">2×7</t>
    </r>
    <r>
      <rPr>
        <sz val="10"/>
        <rFont val="Noto Sans CJK SC"/>
        <family val="2"/>
      </rPr>
      <t xml:space="preserve">）。各中継位置（③</t>
    </r>
    <r>
      <rPr>
        <sz val="10"/>
        <rFont val="Arial"/>
        <family val="0"/>
        <charset val="1"/>
      </rPr>
      <t xml:space="preserve">-②</t>
    </r>
    <r>
      <rPr>
        <sz val="10"/>
        <rFont val="Noto Sans CJK SC"/>
        <family val="2"/>
      </rPr>
      <t xml:space="preserve">間、②</t>
    </r>
    <r>
      <rPr>
        <sz val="10"/>
        <rFont val="Arial"/>
        <family val="0"/>
        <charset val="1"/>
      </rPr>
      <t xml:space="preserve">-①</t>
    </r>
    <r>
      <rPr>
        <sz val="10"/>
        <rFont val="Noto Sans CJK SC"/>
        <family val="2"/>
      </rPr>
      <t xml:space="preserve">間）に、</t>
    </r>
    <r>
      <rPr>
        <sz val="10"/>
        <rFont val="Arial"/>
        <family val="0"/>
        <charset val="1"/>
      </rPr>
      <t xml:space="preserve">4</t>
    </r>
    <r>
      <rPr>
        <sz val="10"/>
        <rFont val="Noto Sans CJK SC"/>
        <family val="2"/>
      </rPr>
      <t xml:space="preserve">極ハーネス用と</t>
    </r>
    <r>
      <rPr>
        <sz val="10"/>
        <rFont val="Arial"/>
        <family val="0"/>
        <charset val="1"/>
      </rPr>
      <t xml:space="preserve">14</t>
    </r>
    <r>
      <rPr>
        <sz val="10"/>
        <rFont val="Noto Sans CJK SC"/>
        <family val="2"/>
      </rPr>
      <t xml:space="preserve">極ハーネス用のコネクタをそれぞれ設ける</t>
    </r>
  </si>
  <si>
    <t xml:space="preserve">ハーネス構成</t>
  </si>
  <si>
    <r>
      <rPr>
        <sz val="10"/>
        <rFont val="Arial"/>
        <family val="0"/>
        <charset val="1"/>
      </rPr>
      <t xml:space="preserve">4</t>
    </r>
    <r>
      <rPr>
        <sz val="10"/>
        <rFont val="Noto Sans CJK SC"/>
        <family val="2"/>
      </rPr>
      <t xml:space="preserve">極ハーネス：</t>
    </r>
    <r>
      <rPr>
        <sz val="10"/>
        <rFont val="Arial"/>
        <family val="0"/>
        <charset val="1"/>
      </rPr>
      <t xml:space="preserve">AV1.25 </t>
    </r>
    <r>
      <rPr>
        <sz val="10"/>
        <rFont val="Noto Sans CJK SC"/>
        <family val="2"/>
      </rPr>
      <t xml:space="preserve">赤＋／黒−のツイストペア</t>
    </r>
    <r>
      <rPr>
        <sz val="10"/>
        <rFont val="Arial"/>
        <family val="0"/>
        <charset val="1"/>
      </rPr>
      <t xml:space="preserve">2</t>
    </r>
    <r>
      <rPr>
        <sz val="10"/>
        <rFont val="Noto Sans CJK SC"/>
        <family val="2"/>
      </rPr>
      <t xml:space="preserve">組（左右モーター）／</t>
    </r>
    <r>
      <rPr>
        <sz val="10"/>
        <rFont val="Arial"/>
        <family val="0"/>
        <charset val="1"/>
      </rPr>
      <t xml:space="preserve">14</t>
    </r>
    <r>
      <rPr>
        <sz val="10"/>
        <rFont val="Noto Sans CJK SC"/>
        <family val="2"/>
      </rPr>
      <t xml:space="preserve">極ハーネス：</t>
    </r>
    <r>
      <rPr>
        <sz val="10"/>
        <rFont val="Arial"/>
        <family val="0"/>
        <charset val="1"/>
      </rPr>
      <t xml:space="preserve">SX(NE) 0.5sq×7P 1</t>
    </r>
    <r>
      <rPr>
        <sz val="10"/>
        <rFont val="Noto Sans CJK SC"/>
        <family val="2"/>
      </rPr>
      <t xml:space="preserve">本（</t>
    </r>
    <r>
      <rPr>
        <sz val="10"/>
        <rFont val="Arial"/>
        <family val="0"/>
        <charset val="1"/>
      </rPr>
      <t xml:space="preserve">RC</t>
    </r>
    <r>
      <rPr>
        <sz val="10"/>
        <rFont val="Noto Sans CJK SC"/>
        <family val="2"/>
      </rPr>
      <t xml:space="preserve">・</t>
    </r>
    <r>
      <rPr>
        <sz val="10"/>
        <rFont val="Arial"/>
        <family val="0"/>
        <charset val="1"/>
      </rPr>
      <t xml:space="preserve">5V</t>
    </r>
    <r>
      <rPr>
        <sz val="10"/>
        <rFont val="Noto Sans CJK SC"/>
        <family val="2"/>
      </rPr>
      <t xml:space="preserve">・</t>
    </r>
    <r>
      <rPr>
        <sz val="10"/>
        <rFont val="Arial"/>
        <family val="0"/>
        <charset val="1"/>
      </rPr>
      <t xml:space="preserve">CURR/VOLT</t>
    </r>
    <r>
      <rPr>
        <sz val="10"/>
        <rFont val="Noto Sans CJK SC"/>
        <family val="2"/>
      </rPr>
      <t xml:space="preserve">・非常停止</t>
    </r>
    <r>
      <rPr>
        <sz val="10"/>
        <rFont val="Arial"/>
        <family val="0"/>
        <charset val="1"/>
      </rPr>
      <t xml:space="preserve">SW</t>
    </r>
    <r>
      <rPr>
        <sz val="10"/>
        <rFont val="Noto Sans CJK SC"/>
        <family val="2"/>
      </rPr>
      <t xml:space="preserve">・</t>
    </r>
    <r>
      <rPr>
        <sz val="10"/>
        <rFont val="Arial"/>
        <family val="0"/>
        <charset val="1"/>
      </rPr>
      <t xml:space="preserve">LED</t>
    </r>
    <r>
      <rPr>
        <sz val="10"/>
        <rFont val="Noto Sans CJK SC"/>
        <family val="2"/>
      </rPr>
      <t xml:space="preserve">）。</t>
    </r>
    <r>
      <rPr>
        <sz val="10"/>
        <rFont val="Arial"/>
        <family val="0"/>
        <charset val="1"/>
      </rPr>
      <t xml:space="preserve">2</t>
    </r>
    <r>
      <rPr>
        <sz val="10"/>
        <rFont val="Noto Sans CJK SC"/>
        <family val="2"/>
      </rPr>
      <t xml:space="preserve">本は数</t>
    </r>
    <r>
      <rPr>
        <sz val="10"/>
        <rFont val="Arial"/>
        <family val="0"/>
        <charset val="1"/>
      </rPr>
      <t xml:space="preserve">cm</t>
    </r>
    <r>
      <rPr>
        <sz val="10"/>
        <rFont val="Noto Sans CJK SC"/>
        <family val="2"/>
      </rPr>
      <t xml:space="preserve">離して配線し、交差は直角に</t>
    </r>
  </si>
  <si>
    <t xml:space="preserve">ハウジング（モノタロウ、税込、10個入り）</t>
  </si>
  <si>
    <r>
      <rPr>
        <sz val="10"/>
        <rFont val="Arial"/>
        <family val="0"/>
        <charset val="1"/>
      </rPr>
      <t xml:space="preserve">5557-04R</t>
    </r>
    <r>
      <rPr>
        <sz val="10"/>
        <rFont val="Noto Sans CJK SC"/>
        <family val="2"/>
      </rPr>
      <t xml:space="preserve">（</t>
    </r>
    <r>
      <rPr>
        <sz val="10"/>
        <rFont val="Arial"/>
        <family val="0"/>
        <charset val="1"/>
      </rPr>
      <t xml:space="preserve">08561481</t>
    </r>
    <r>
      <rPr>
        <sz val="10"/>
        <rFont val="Noto Sans CJK SC"/>
        <family val="2"/>
      </rPr>
      <t xml:space="preserve">）</t>
    </r>
    <r>
      <rPr>
        <sz val="10"/>
        <rFont val="Arial"/>
        <family val="0"/>
        <charset val="1"/>
      </rPr>
      <t xml:space="preserve">307</t>
    </r>
    <r>
      <rPr>
        <sz val="10"/>
        <rFont val="Noto Sans CJK SC"/>
        <family val="2"/>
      </rPr>
      <t xml:space="preserve">円＋</t>
    </r>
    <r>
      <rPr>
        <sz val="10"/>
        <rFont val="Arial"/>
        <family val="0"/>
        <charset val="1"/>
      </rPr>
      <t xml:space="preserve">5557-14R</t>
    </r>
    <r>
      <rPr>
        <sz val="10"/>
        <rFont val="Noto Sans CJK SC"/>
        <family val="2"/>
      </rPr>
      <t xml:space="preserve">（</t>
    </r>
    <r>
      <rPr>
        <sz val="10"/>
        <rFont val="Arial"/>
        <family val="0"/>
        <charset val="1"/>
      </rPr>
      <t xml:space="preserve">08561533</t>
    </r>
    <r>
      <rPr>
        <sz val="10"/>
        <rFont val="Noto Sans CJK SC"/>
        <family val="2"/>
      </rPr>
      <t xml:space="preserve">）</t>
    </r>
    <r>
      <rPr>
        <sz val="10"/>
        <rFont val="Arial"/>
        <family val="0"/>
        <charset val="1"/>
      </rPr>
      <t xml:space="preserve">659</t>
    </r>
    <r>
      <rPr>
        <sz val="10"/>
        <rFont val="Noto Sans CJK SC"/>
        <family val="2"/>
      </rPr>
      <t xml:space="preserve">円＋</t>
    </r>
    <r>
      <rPr>
        <sz val="10"/>
        <rFont val="Arial"/>
        <family val="0"/>
        <charset val="1"/>
      </rPr>
      <t xml:space="preserve">5559-04P</t>
    </r>
    <r>
      <rPr>
        <sz val="10"/>
        <rFont val="Noto Sans CJK SC"/>
        <family val="2"/>
      </rPr>
      <t xml:space="preserve">（</t>
    </r>
    <r>
      <rPr>
        <sz val="10"/>
        <rFont val="Arial"/>
        <family val="0"/>
        <charset val="1"/>
      </rPr>
      <t xml:space="preserve">08561296</t>
    </r>
    <r>
      <rPr>
        <sz val="10"/>
        <rFont val="Noto Sans CJK SC"/>
        <family val="2"/>
      </rPr>
      <t xml:space="preserve">）</t>
    </r>
    <r>
      <rPr>
        <sz val="10"/>
        <rFont val="Arial"/>
        <family val="0"/>
        <charset val="1"/>
      </rPr>
      <t xml:space="preserve">395</t>
    </r>
    <r>
      <rPr>
        <sz val="10"/>
        <rFont val="Noto Sans CJK SC"/>
        <family val="2"/>
      </rPr>
      <t xml:space="preserve">円＋</t>
    </r>
    <r>
      <rPr>
        <sz val="10"/>
        <rFont val="Arial"/>
        <family val="0"/>
        <charset val="1"/>
      </rPr>
      <t xml:space="preserve">5559-14P</t>
    </r>
    <r>
      <rPr>
        <sz val="10"/>
        <rFont val="Noto Sans CJK SC"/>
        <family val="2"/>
      </rPr>
      <t xml:space="preserve">（</t>
    </r>
    <r>
      <rPr>
        <sz val="10"/>
        <rFont val="Arial"/>
        <family val="0"/>
        <charset val="1"/>
      </rPr>
      <t xml:space="preserve">08561341</t>
    </r>
    <r>
      <rPr>
        <sz val="10"/>
        <rFont val="Noto Sans CJK SC"/>
        <family val="2"/>
      </rPr>
      <t xml:space="preserve">）</t>
    </r>
    <r>
      <rPr>
        <sz val="10"/>
        <rFont val="Arial"/>
        <family val="0"/>
        <charset val="1"/>
      </rPr>
      <t xml:space="preserve">736</t>
    </r>
    <r>
      <rPr>
        <sz val="10"/>
        <rFont val="Noto Sans CJK SC"/>
        <family val="2"/>
      </rPr>
      <t xml:space="preserve">円</t>
    </r>
  </si>
  <si>
    <t xml:space="preserve">ハウジング費用合計</t>
  </si>
  <si>
    <r>
      <rPr>
        <sz val="10"/>
        <rFont val="Arial"/>
        <family val="0"/>
        <charset val="1"/>
      </rPr>
      <t xml:space="preserve">2,097</t>
    </r>
    <r>
      <rPr>
        <sz val="10"/>
        <rFont val="Noto Sans CJK SC"/>
        <family val="2"/>
      </rPr>
      <t xml:space="preserve">円（</t>
    </r>
    <r>
      <rPr>
        <sz val="10"/>
        <rFont val="Arial"/>
        <family val="0"/>
        <charset val="1"/>
      </rPr>
      <t xml:space="preserve">20</t>
    </r>
    <r>
      <rPr>
        <sz val="10"/>
        <rFont val="Noto Sans CJK SC"/>
        <family val="2"/>
      </rPr>
      <t xml:space="preserve">極コネクタ</t>
    </r>
    <r>
      <rPr>
        <sz val="10"/>
        <rFont val="Arial"/>
        <family val="0"/>
        <charset val="1"/>
      </rPr>
      <t xml:space="preserve">1</t>
    </r>
    <r>
      <rPr>
        <sz val="10"/>
        <rFont val="Noto Sans CJK SC"/>
        <family val="2"/>
      </rPr>
      <t xml:space="preserve">個の構成と比べ約</t>
    </r>
    <r>
      <rPr>
        <sz val="10"/>
        <rFont val="Arial"/>
        <family val="0"/>
        <charset val="1"/>
      </rPr>
      <t xml:space="preserve">2,600</t>
    </r>
    <r>
      <rPr>
        <sz val="10"/>
        <rFont val="Noto Sans CJK SC"/>
        <family val="2"/>
      </rPr>
      <t xml:space="preserve">円安い）</t>
    </r>
  </si>
  <si>
    <t xml:space="preserve">出荷</t>
  </si>
  <si>
    <t xml:space="preserve">すべて当日出荷の表示</t>
  </si>
  <si>
    <t xml:space="preserve">ピン構成</t>
  </si>
  <si>
    <r>
      <rPr>
        <sz val="10"/>
        <rFont val="Arial"/>
        <family val="0"/>
        <charset val="1"/>
      </rPr>
      <t xml:space="preserve">4</t>
    </r>
    <r>
      <rPr>
        <sz val="10"/>
        <rFont val="Noto Sans CJK SC"/>
        <family val="2"/>
      </rPr>
      <t xml:space="preserve">極：モーター</t>
    </r>
    <r>
      <rPr>
        <sz val="10"/>
        <rFont val="Arial"/>
        <family val="0"/>
        <charset val="1"/>
      </rPr>
      <t xml:space="preserve">4</t>
    </r>
    <r>
      <rPr>
        <sz val="10"/>
        <rFont val="Noto Sans CJK SC"/>
        <family val="2"/>
      </rPr>
      <t xml:space="preserve">本／</t>
    </r>
    <r>
      <rPr>
        <sz val="10"/>
        <rFont val="Arial"/>
        <family val="0"/>
        <charset val="1"/>
      </rPr>
      <t xml:space="preserve">14</t>
    </r>
    <r>
      <rPr>
        <sz val="10"/>
        <rFont val="Noto Sans CJK SC"/>
        <family val="2"/>
      </rPr>
      <t xml:space="preserve">極：信号・電源</t>
    </r>
    <r>
      <rPr>
        <sz val="10"/>
        <rFont val="Arial"/>
        <family val="0"/>
        <charset val="1"/>
      </rPr>
      <t xml:space="preserve">14</t>
    </r>
    <r>
      <rPr>
        <sz val="10"/>
        <rFont val="Noto Sans CJK SC"/>
        <family val="2"/>
      </rPr>
      <t xml:space="preserve">本（空きなし）</t>
    </r>
  </si>
  <si>
    <t xml:space="preserve">長所</t>
  </si>
  <si>
    <t xml:space="preserve">安価で納期が短い。モーター電力と信号がハーネスごと分離され、モーター線から信号線へのノイズ結合がさらに小さい（2本を数cm離せる）。浸水・ピン曲がり時の回り込みリスクも低い。4極だけ抜けばモーターだけを切り離せる（机上テストで安全）</t>
  </si>
  <si>
    <t xml:space="preserve">短所・注意</t>
  </si>
  <si>
    <t xml:space="preserve">挿す箇所が2か所で挿し忘れの可能性（両端に「MOTOR」「SIGNAL」のラベルで対策）。ハーネスが2本になり、外装・クリップ・固定箇所が増える。パネル取付耳の有無は図面で確認</t>
  </si>
  <si>
    <t xml:space="preserve">共通：端子</t>
  </si>
  <si>
    <r>
      <rPr>
        <sz val="10"/>
        <rFont val="Arial"/>
        <family val="0"/>
        <charset val="1"/>
      </rPr>
      <t xml:space="preserve">5556T3L</t>
    </r>
    <r>
      <rPr>
        <sz val="10"/>
        <rFont val="Noto Sans CJK SC"/>
        <family val="2"/>
      </rPr>
      <t xml:space="preserve">／</t>
    </r>
    <r>
      <rPr>
        <sz val="10"/>
        <rFont val="Arial"/>
        <family val="0"/>
        <charset val="1"/>
      </rPr>
      <t xml:space="preserve">5558T3L</t>
    </r>
    <r>
      <rPr>
        <sz val="10"/>
        <rFont val="Noto Sans CJK SC"/>
        <family val="2"/>
      </rPr>
      <t xml:space="preserve">（</t>
    </r>
    <r>
      <rPr>
        <sz val="10"/>
        <rFont val="Arial"/>
        <family val="0"/>
        <charset val="1"/>
      </rPr>
      <t xml:space="preserve">AWG16</t>
    </r>
    <r>
      <rPr>
        <sz val="10"/>
        <rFont val="Noto Sans CJK SC"/>
        <family val="2"/>
      </rPr>
      <t xml:space="preserve">、モーター線）、</t>
    </r>
    <r>
      <rPr>
        <sz val="10"/>
        <rFont val="Arial"/>
        <family val="0"/>
        <charset val="1"/>
      </rPr>
      <t xml:space="preserve">5556TL</t>
    </r>
    <r>
      <rPr>
        <sz val="10"/>
        <rFont val="Noto Sans CJK SC"/>
        <family val="2"/>
      </rPr>
      <t xml:space="preserve">／</t>
    </r>
    <r>
      <rPr>
        <sz val="10"/>
        <rFont val="Arial"/>
        <family val="0"/>
        <charset val="1"/>
      </rPr>
      <t xml:space="preserve">5558TL</t>
    </r>
    <r>
      <rPr>
        <sz val="10"/>
        <rFont val="Noto Sans CJK SC"/>
        <family val="2"/>
      </rPr>
      <t xml:space="preserve">（</t>
    </r>
    <r>
      <rPr>
        <sz val="10"/>
        <rFont val="Arial"/>
        <family val="0"/>
        <charset val="1"/>
      </rPr>
      <t xml:space="preserve">AWG18</t>
    </r>
    <r>
      <rPr>
        <sz val="10"/>
        <rFont val="Noto Sans CJK SC"/>
        <family val="2"/>
      </rPr>
      <t xml:space="preserve">〜</t>
    </r>
    <r>
      <rPr>
        <sz val="10"/>
        <rFont val="Arial"/>
        <family val="0"/>
        <charset val="1"/>
      </rPr>
      <t xml:space="preserve">24</t>
    </r>
    <r>
      <rPr>
        <sz val="10"/>
        <rFont val="Noto Sans CJK SC"/>
        <family val="2"/>
      </rPr>
      <t xml:space="preserve">、②ハーネスの</t>
    </r>
    <r>
      <rPr>
        <sz val="10"/>
        <rFont val="Arial"/>
        <family val="0"/>
        <charset val="1"/>
      </rPr>
      <t xml:space="preserve">SX(NE)</t>
    </r>
    <r>
      <rPr>
        <sz val="10"/>
        <rFont val="Noto Sans CJK SC"/>
        <family val="2"/>
      </rPr>
      <t xml:space="preserve">）、</t>
    </r>
    <r>
      <rPr>
        <sz val="10"/>
        <rFont val="Arial"/>
        <family val="0"/>
        <charset val="1"/>
      </rPr>
      <t xml:space="preserve">5556T2L</t>
    </r>
    <r>
      <rPr>
        <sz val="10"/>
        <rFont val="Noto Sans CJK SC"/>
        <family val="2"/>
      </rPr>
      <t xml:space="preserve">／</t>
    </r>
    <r>
      <rPr>
        <sz val="10"/>
        <rFont val="Arial"/>
        <family val="0"/>
        <charset val="1"/>
      </rPr>
      <t xml:space="preserve">5558T2L</t>
    </r>
    <r>
      <rPr>
        <sz val="10"/>
        <rFont val="Noto Sans CJK SC"/>
        <family val="2"/>
      </rPr>
      <t xml:space="preserve">（</t>
    </r>
    <r>
      <rPr>
        <sz val="10"/>
        <rFont val="Arial"/>
        <family val="0"/>
        <charset val="1"/>
      </rPr>
      <t xml:space="preserve">AWG22</t>
    </r>
    <r>
      <rPr>
        <sz val="10"/>
        <rFont val="Noto Sans CJK SC"/>
        <family val="2"/>
      </rPr>
      <t xml:space="preserve">〜</t>
    </r>
    <r>
      <rPr>
        <sz val="10"/>
        <rFont val="Arial"/>
        <family val="0"/>
        <charset val="1"/>
      </rPr>
      <t xml:space="preserve">28</t>
    </r>
    <r>
      <rPr>
        <sz val="10"/>
        <rFont val="Noto Sans CJK SC"/>
        <family val="2"/>
      </rPr>
      <t xml:space="preserve">、①③ユニット側の</t>
    </r>
    <r>
      <rPr>
        <sz val="10"/>
        <rFont val="Arial"/>
        <family val="0"/>
        <charset val="1"/>
      </rPr>
      <t xml:space="preserve">AWG26</t>
    </r>
    <r>
      <rPr>
        <sz val="10"/>
        <rFont val="Noto Sans CJK SC"/>
        <family val="2"/>
      </rPr>
      <t xml:space="preserve">）。すずめっき、各</t>
    </r>
    <r>
      <rPr>
        <sz val="10"/>
        <rFont val="Arial"/>
        <family val="0"/>
        <charset val="1"/>
      </rPr>
      <t xml:space="preserve">100</t>
    </r>
    <r>
      <rPr>
        <sz val="10"/>
        <rFont val="Noto Sans CJK SC"/>
        <family val="2"/>
      </rPr>
      <t xml:space="preserve">個入り</t>
    </r>
    <r>
      <rPr>
        <sz val="10"/>
        <rFont val="Arial"/>
        <family val="0"/>
        <charset val="1"/>
      </rPr>
      <t xml:space="preserve">1</t>
    </r>
    <r>
      <rPr>
        <sz val="10"/>
        <rFont val="Noto Sans CJK SC"/>
        <family val="2"/>
      </rPr>
      <t xml:space="preserve">パック</t>
    </r>
  </si>
  <si>
    <t xml:space="preserve">共通：ケーブル</t>
  </si>
  <si>
    <t xml:space="preserve">②ハーネス：モーター＝エーモンAV1.25 赤・黒（自作ツイスト）／信号＝SX(NE) 0.5sq×7P（ペア1〜7、14芯すべて使用）。①③ユニット側（各約10cm）：モーター＝AWG16、5V・GND・CURRENT・VOLTAGE・RC・信号GND・ドレイン＝AWG26（住友電工 UL1571）、SW・LED＝AWG24（UL3265、150V）。PM02・Pixhawk側はJST GH 6ピンを自作</t>
  </si>
  <si>
    <t xml:space="preserve">共通：性別</t>
  </si>
  <si>
    <t xml:space="preserve">③後部ユニット＝メス(5557)、②ハーネス後部側＝オス(5559)、②ハーネス前部側＝メス(5557)、①前部ユニット＝オス(5559)</t>
  </si>
  <si>
    <t xml:space="preserve">ハーネス部品 購入リスト Ver.1（Molex Mini-Fit Jr. 4極ハーネス＋14極ハーネス 2本構成）</t>
  </si>
  <si>
    <t xml:space="preserve">「必要数」「購入数」は式で計算されます。「確認」「購入」列はプルダウンで選択、「実際に購入した品番」は手入力してください。</t>
  </si>
  <si>
    <t xml:space="preserve">No</t>
  </si>
  <si>
    <t xml:space="preserve">区分</t>
  </si>
  <si>
    <t xml:space="preserve">部品名</t>
  </si>
  <si>
    <t xml:space="preserve">メーカー</t>
  </si>
  <si>
    <t xml:space="preserve">品番（例）</t>
  </si>
  <si>
    <t xml:space="preserve">仕様</t>
  </si>
  <si>
    <t xml:space="preserve">必要数</t>
  </si>
  <si>
    <t xml:space="preserve">購入数</t>
  </si>
  <si>
    <t xml:space="preserve">単位</t>
  </si>
  <si>
    <t xml:space="preserve">確認ポイント</t>
  </si>
  <si>
    <t xml:space="preserve">確認</t>
  </si>
  <si>
    <t xml:space="preserve">購入</t>
  </si>
  <si>
    <t xml:space="preserve">実際に購入した品番・備考</t>
  </si>
  <si>
    <t xml:space="preserve">品質文書（データシート・証明書）</t>
  </si>
  <si>
    <t xml:space="preserve">1-1</t>
  </si>
  <si>
    <t xml:space="preserve">メス側ハウジング 4極（レセプタクル）</t>
  </si>
  <si>
    <t xml:space="preserve">日本モレックス</t>
  </si>
  <si>
    <r>
      <rPr>
        <sz val="10"/>
        <rFont val="Arial"/>
        <family val="0"/>
        <charset val="1"/>
      </rPr>
      <t xml:space="preserve">5557-04R</t>
    </r>
    <r>
      <rPr>
        <sz val="10"/>
        <rFont val="Noto Sans CJK SC"/>
        <family val="2"/>
      </rPr>
      <t xml:space="preserve">（モノタロウ </t>
    </r>
    <r>
      <rPr>
        <sz val="10"/>
        <rFont val="Arial"/>
        <family val="0"/>
        <charset val="1"/>
      </rPr>
      <t xml:space="preserve">08561481</t>
    </r>
    <r>
      <rPr>
        <sz val="10"/>
        <rFont val="Noto Sans CJK SC"/>
        <family val="2"/>
      </rPr>
      <t xml:space="preserve">）</t>
    </r>
  </si>
  <si>
    <r>
      <rPr>
        <sz val="10"/>
        <rFont val="Arial"/>
        <family val="0"/>
        <charset val="1"/>
      </rPr>
      <t xml:space="preserve">4</t>
    </r>
    <r>
      <rPr>
        <sz val="10"/>
        <rFont val="Noto Sans CJK SC"/>
        <family val="2"/>
      </rPr>
      <t xml:space="preserve">極、</t>
    </r>
    <r>
      <rPr>
        <sz val="10"/>
        <rFont val="Arial"/>
        <family val="0"/>
        <charset val="1"/>
      </rPr>
      <t xml:space="preserve">2×2</t>
    </r>
    <r>
      <rPr>
        <sz val="10"/>
        <rFont val="Noto Sans CJK SC"/>
        <family val="2"/>
      </rPr>
      <t xml:space="preserve">、</t>
    </r>
    <r>
      <rPr>
        <sz val="10"/>
        <rFont val="Arial"/>
        <family val="0"/>
        <charset val="1"/>
      </rPr>
      <t xml:space="preserve">4.2mm</t>
    </r>
    <r>
      <rPr>
        <sz val="10"/>
        <rFont val="Noto Sans CJK SC"/>
        <family val="2"/>
      </rPr>
      <t xml:space="preserve">、ナイロン</t>
    </r>
    <r>
      <rPr>
        <sz val="10"/>
        <rFont val="Arial"/>
        <family val="0"/>
        <charset val="1"/>
      </rPr>
      <t xml:space="preserve">66</t>
    </r>
    <r>
      <rPr>
        <sz val="10"/>
        <rFont val="Noto Sans CJK SC"/>
        <family val="2"/>
      </rPr>
      <t xml:space="preserve">・</t>
    </r>
    <r>
      <rPr>
        <sz val="10"/>
        <rFont val="Arial"/>
        <family val="0"/>
        <charset val="1"/>
      </rPr>
      <t xml:space="preserve">UL94V-2</t>
    </r>
    <r>
      <rPr>
        <sz val="10"/>
        <rFont val="Noto Sans CJK SC"/>
        <family val="2"/>
      </rPr>
      <t xml:space="preserve">、</t>
    </r>
    <r>
      <rPr>
        <sz val="10"/>
        <rFont val="Arial"/>
        <family val="0"/>
        <charset val="1"/>
      </rPr>
      <t xml:space="preserve">10</t>
    </r>
    <r>
      <rPr>
        <sz val="10"/>
        <rFont val="Noto Sans CJK SC"/>
        <family val="2"/>
      </rPr>
      <t xml:space="preserve">個入り、税込</t>
    </r>
    <r>
      <rPr>
        <sz val="10"/>
        <rFont val="Arial"/>
        <family val="0"/>
        <charset val="1"/>
      </rPr>
      <t xml:space="preserve">307</t>
    </r>
    <r>
      <rPr>
        <sz val="10"/>
        <rFont val="Noto Sans CJK SC"/>
        <family val="2"/>
      </rPr>
      <t xml:space="preserve">円</t>
    </r>
  </si>
  <si>
    <t xml:space="preserve">パック</t>
  </si>
  <si>
    <t xml:space="preserve">モーター電力用。③後部ユニットと②ハーネスの前部側</t>
  </si>
  <si>
    <t xml:space="preserve">未確認</t>
  </si>
  <si>
    <t xml:space="preserve">未購入</t>
  </si>
  <si>
    <t xml:space="preserve">必要数は個数、購入数はパック数（1パック10個）</t>
  </si>
  <si>
    <t xml:space="preserve">https://www.molex.com/ja-jp/products/part-detail/39013042</t>
  </si>
  <si>
    <t xml:space="preserve">1-2</t>
  </si>
  <si>
    <t xml:space="preserve">メス側ハウジング 14極（レセプタクル）</t>
  </si>
  <si>
    <r>
      <rPr>
        <sz val="10"/>
        <rFont val="Arial"/>
        <family val="0"/>
        <charset val="1"/>
      </rPr>
      <t xml:space="preserve">5557-14R</t>
    </r>
    <r>
      <rPr>
        <sz val="10"/>
        <rFont val="Noto Sans CJK SC"/>
        <family val="2"/>
      </rPr>
      <t xml:space="preserve">（モノタロウ </t>
    </r>
    <r>
      <rPr>
        <sz val="10"/>
        <rFont val="Arial"/>
        <family val="0"/>
        <charset val="1"/>
      </rPr>
      <t xml:space="preserve">08561533</t>
    </r>
    <r>
      <rPr>
        <sz val="10"/>
        <rFont val="Noto Sans CJK SC"/>
        <family val="2"/>
      </rPr>
      <t xml:space="preserve">）</t>
    </r>
  </si>
  <si>
    <r>
      <rPr>
        <sz val="10"/>
        <rFont val="Arial"/>
        <family val="0"/>
        <charset val="1"/>
      </rPr>
      <t xml:space="preserve">14</t>
    </r>
    <r>
      <rPr>
        <sz val="10"/>
        <rFont val="Noto Sans CJK SC"/>
        <family val="2"/>
      </rPr>
      <t xml:space="preserve">極、</t>
    </r>
    <r>
      <rPr>
        <sz val="10"/>
        <rFont val="Arial"/>
        <family val="0"/>
        <charset val="1"/>
      </rPr>
      <t xml:space="preserve">2×7</t>
    </r>
    <r>
      <rPr>
        <sz val="10"/>
        <rFont val="Noto Sans CJK SC"/>
        <family val="2"/>
      </rPr>
      <t xml:space="preserve">、</t>
    </r>
    <r>
      <rPr>
        <sz val="10"/>
        <rFont val="Arial"/>
        <family val="0"/>
        <charset val="1"/>
      </rPr>
      <t xml:space="preserve">4.2mm</t>
    </r>
    <r>
      <rPr>
        <sz val="10"/>
        <rFont val="Noto Sans CJK SC"/>
        <family val="2"/>
      </rPr>
      <t xml:space="preserve">、ナイロン</t>
    </r>
    <r>
      <rPr>
        <sz val="10"/>
        <rFont val="Arial"/>
        <family val="0"/>
        <charset val="1"/>
      </rPr>
      <t xml:space="preserve">66</t>
    </r>
    <r>
      <rPr>
        <sz val="10"/>
        <rFont val="Noto Sans CJK SC"/>
        <family val="2"/>
      </rPr>
      <t xml:space="preserve">・</t>
    </r>
    <r>
      <rPr>
        <sz val="10"/>
        <rFont val="Arial"/>
        <family val="0"/>
        <charset val="1"/>
      </rPr>
      <t xml:space="preserve">UL94V-2</t>
    </r>
    <r>
      <rPr>
        <sz val="10"/>
        <rFont val="Noto Sans CJK SC"/>
        <family val="2"/>
      </rPr>
      <t xml:space="preserve">、</t>
    </r>
    <r>
      <rPr>
        <sz val="10"/>
        <rFont val="Arial"/>
        <family val="0"/>
        <charset val="1"/>
      </rPr>
      <t xml:space="preserve">10</t>
    </r>
    <r>
      <rPr>
        <sz val="10"/>
        <rFont val="Noto Sans CJK SC"/>
        <family val="2"/>
      </rPr>
      <t xml:space="preserve">個入り、税込</t>
    </r>
    <r>
      <rPr>
        <sz val="10"/>
        <rFont val="Arial"/>
        <family val="0"/>
        <charset val="1"/>
      </rPr>
      <t xml:space="preserve">659</t>
    </r>
    <r>
      <rPr>
        <sz val="10"/>
        <rFont val="Noto Sans CJK SC"/>
        <family val="2"/>
      </rPr>
      <t xml:space="preserve">円</t>
    </r>
  </si>
  <si>
    <t xml:space="preserve">信号・電源用。③後部ユニットと②ハーネスの前部側</t>
  </si>
  <si>
    <t xml:space="preserve">https://www.molex.com/ja-jp/products/part-detail/39012140</t>
  </si>
  <si>
    <t xml:space="preserve">2-1</t>
  </si>
  <si>
    <t xml:space="preserve">オス側ハウジング 4極（プラグ）</t>
  </si>
  <si>
    <r>
      <rPr>
        <sz val="10"/>
        <rFont val="Arial"/>
        <family val="0"/>
        <charset val="1"/>
      </rPr>
      <t xml:space="preserve">5559-04P</t>
    </r>
    <r>
      <rPr>
        <sz val="10"/>
        <rFont val="Noto Sans CJK SC"/>
        <family val="2"/>
      </rPr>
      <t xml:space="preserve">（モノタロウ </t>
    </r>
    <r>
      <rPr>
        <sz val="10"/>
        <rFont val="Arial"/>
        <family val="0"/>
        <charset val="1"/>
      </rPr>
      <t xml:space="preserve">08561296</t>
    </r>
    <r>
      <rPr>
        <sz val="10"/>
        <rFont val="Noto Sans CJK SC"/>
        <family val="2"/>
      </rPr>
      <t xml:space="preserve">）</t>
    </r>
  </si>
  <si>
    <r>
      <rPr>
        <sz val="10"/>
        <rFont val="Arial"/>
        <family val="0"/>
        <charset val="1"/>
      </rPr>
      <t xml:space="preserve">4</t>
    </r>
    <r>
      <rPr>
        <sz val="10"/>
        <rFont val="Noto Sans CJK SC"/>
        <family val="2"/>
      </rPr>
      <t xml:space="preserve">極、</t>
    </r>
    <r>
      <rPr>
        <sz val="10"/>
        <rFont val="Arial"/>
        <family val="0"/>
        <charset val="1"/>
      </rPr>
      <t xml:space="preserve">2×2</t>
    </r>
    <r>
      <rPr>
        <sz val="10"/>
        <rFont val="Noto Sans CJK SC"/>
        <family val="2"/>
      </rPr>
      <t xml:space="preserve">、</t>
    </r>
    <r>
      <rPr>
        <sz val="10"/>
        <rFont val="Arial"/>
        <family val="0"/>
        <charset val="1"/>
      </rPr>
      <t xml:space="preserve">4.2mm</t>
    </r>
    <r>
      <rPr>
        <sz val="10"/>
        <rFont val="Noto Sans CJK SC"/>
        <family val="2"/>
      </rPr>
      <t xml:space="preserve">、ナイロン</t>
    </r>
    <r>
      <rPr>
        <sz val="10"/>
        <rFont val="Arial"/>
        <family val="0"/>
        <charset val="1"/>
      </rPr>
      <t xml:space="preserve">66</t>
    </r>
    <r>
      <rPr>
        <sz val="10"/>
        <rFont val="Noto Sans CJK SC"/>
        <family val="2"/>
      </rPr>
      <t xml:space="preserve">・</t>
    </r>
    <r>
      <rPr>
        <sz val="10"/>
        <rFont val="Arial"/>
        <family val="0"/>
        <charset val="1"/>
      </rPr>
      <t xml:space="preserve">UL94V-2</t>
    </r>
    <r>
      <rPr>
        <sz val="10"/>
        <rFont val="Noto Sans CJK SC"/>
        <family val="2"/>
      </rPr>
      <t xml:space="preserve">、</t>
    </r>
    <r>
      <rPr>
        <sz val="10"/>
        <rFont val="Arial"/>
        <family val="0"/>
        <charset val="1"/>
      </rPr>
      <t xml:space="preserve">10</t>
    </r>
    <r>
      <rPr>
        <sz val="10"/>
        <rFont val="Noto Sans CJK SC"/>
        <family val="2"/>
      </rPr>
      <t xml:space="preserve">個入り、税込</t>
    </r>
    <r>
      <rPr>
        <sz val="10"/>
        <rFont val="Arial"/>
        <family val="0"/>
        <charset val="1"/>
      </rPr>
      <t xml:space="preserve">395</t>
    </r>
    <r>
      <rPr>
        <sz val="10"/>
        <rFont val="Noto Sans CJK SC"/>
        <family val="2"/>
      </rPr>
      <t xml:space="preserve">円</t>
    </r>
  </si>
  <si>
    <t xml:space="preserve">モーター電力用。②ハーネスの後部側と①前部ユニット。パネル取付耳の有無を図面で確認</t>
  </si>
  <si>
    <t xml:space="preserve">https://www.molex.com/ja-jp/products/part-detail/39013043</t>
  </si>
  <si>
    <t xml:space="preserve">2-2</t>
  </si>
  <si>
    <t xml:space="preserve">オス側ハウジング 14極（プラグ）</t>
  </si>
  <si>
    <r>
      <rPr>
        <sz val="10"/>
        <rFont val="Arial"/>
        <family val="0"/>
        <charset val="1"/>
      </rPr>
      <t xml:space="preserve">5559-14P</t>
    </r>
    <r>
      <rPr>
        <sz val="10"/>
        <rFont val="Noto Sans CJK SC"/>
        <family val="2"/>
      </rPr>
      <t xml:space="preserve">（モノタロウ </t>
    </r>
    <r>
      <rPr>
        <sz val="10"/>
        <rFont val="Arial"/>
        <family val="0"/>
        <charset val="1"/>
      </rPr>
      <t xml:space="preserve">08561341</t>
    </r>
    <r>
      <rPr>
        <sz val="10"/>
        <rFont val="Noto Sans CJK SC"/>
        <family val="2"/>
      </rPr>
      <t xml:space="preserve">）</t>
    </r>
  </si>
  <si>
    <r>
      <rPr>
        <sz val="10"/>
        <rFont val="Arial"/>
        <family val="0"/>
        <charset val="1"/>
      </rPr>
      <t xml:space="preserve">14</t>
    </r>
    <r>
      <rPr>
        <sz val="10"/>
        <rFont val="Noto Sans CJK SC"/>
        <family val="2"/>
      </rPr>
      <t xml:space="preserve">極、</t>
    </r>
    <r>
      <rPr>
        <sz val="10"/>
        <rFont val="Arial"/>
        <family val="0"/>
        <charset val="1"/>
      </rPr>
      <t xml:space="preserve">2×7</t>
    </r>
    <r>
      <rPr>
        <sz val="10"/>
        <rFont val="Noto Sans CJK SC"/>
        <family val="2"/>
      </rPr>
      <t xml:space="preserve">、</t>
    </r>
    <r>
      <rPr>
        <sz val="10"/>
        <rFont val="Arial"/>
        <family val="0"/>
        <charset val="1"/>
      </rPr>
      <t xml:space="preserve">4.2mm</t>
    </r>
    <r>
      <rPr>
        <sz val="10"/>
        <rFont val="Noto Sans CJK SC"/>
        <family val="2"/>
      </rPr>
      <t xml:space="preserve">、ナイロン</t>
    </r>
    <r>
      <rPr>
        <sz val="10"/>
        <rFont val="Arial"/>
        <family val="0"/>
        <charset val="1"/>
      </rPr>
      <t xml:space="preserve">66</t>
    </r>
    <r>
      <rPr>
        <sz val="10"/>
        <rFont val="Noto Sans CJK SC"/>
        <family val="2"/>
      </rPr>
      <t xml:space="preserve">・</t>
    </r>
    <r>
      <rPr>
        <sz val="10"/>
        <rFont val="Arial"/>
        <family val="0"/>
        <charset val="1"/>
      </rPr>
      <t xml:space="preserve">UL94V-2</t>
    </r>
    <r>
      <rPr>
        <sz val="10"/>
        <rFont val="Noto Sans CJK SC"/>
        <family val="2"/>
      </rPr>
      <t xml:space="preserve">、</t>
    </r>
    <r>
      <rPr>
        <sz val="10"/>
        <rFont val="Arial"/>
        <family val="0"/>
        <charset val="1"/>
      </rPr>
      <t xml:space="preserve">10</t>
    </r>
    <r>
      <rPr>
        <sz val="10"/>
        <rFont val="Noto Sans CJK SC"/>
        <family val="2"/>
      </rPr>
      <t xml:space="preserve">個入り、税込</t>
    </r>
    <r>
      <rPr>
        <sz val="10"/>
        <rFont val="Arial"/>
        <family val="0"/>
        <charset val="1"/>
      </rPr>
      <t xml:space="preserve">736</t>
    </r>
    <r>
      <rPr>
        <sz val="10"/>
        <rFont val="Noto Sans CJK SC"/>
        <family val="2"/>
      </rPr>
      <t xml:space="preserve">円</t>
    </r>
  </si>
  <si>
    <t xml:space="preserve">信号・電源用。②ハーネスの後部側と①前部ユニット。パネル取付耳の有無を図面で確認</t>
  </si>
  <si>
    <t xml:space="preserve">https://www.molex.com/ja-jp/products/part-detail/39012141</t>
  </si>
  <si>
    <t xml:space="preserve">端子</t>
  </si>
  <si>
    <t xml:space="preserve">メス端子 AWG16用</t>
  </si>
  <si>
    <r>
      <rPr>
        <sz val="10"/>
        <rFont val="Arial"/>
        <family val="0"/>
        <charset val="1"/>
      </rPr>
      <t xml:space="preserve">5556T3L</t>
    </r>
    <r>
      <rPr>
        <sz val="10"/>
        <rFont val="Noto Sans CJK SC"/>
        <family val="2"/>
      </rPr>
      <t xml:space="preserve">（モノタロウ </t>
    </r>
    <r>
      <rPr>
        <sz val="10"/>
        <rFont val="Arial"/>
        <family val="0"/>
        <charset val="1"/>
      </rPr>
      <t xml:space="preserve">75939272</t>
    </r>
    <r>
      <rPr>
        <sz val="10"/>
        <rFont val="Noto Sans CJK SC"/>
        <family val="2"/>
      </rPr>
      <t xml:space="preserve">）</t>
    </r>
  </si>
  <si>
    <t xml:space="preserve">メス端子 AWG16用、すずめっき2.5µm、バラ品、100個入り</t>
  </si>
  <si>
    <t xml:space="preserve">すずめっきで統一。モーター線用</t>
  </si>
  <si>
    <t xml:space="preserve">必要数は個数、購入数はパック数（1パック100個）</t>
  </si>
  <si>
    <t xml:space="preserve">https://www.molex.com/ja-jp/products/part-detail/39000078</t>
  </si>
  <si>
    <t xml:space="preserve">メス端子 AWG18〜24用</t>
  </si>
  <si>
    <r>
      <rPr>
        <sz val="10"/>
        <rFont val="Arial"/>
        <family val="0"/>
        <charset val="1"/>
      </rPr>
      <t xml:space="preserve">5556TL</t>
    </r>
    <r>
      <rPr>
        <sz val="10"/>
        <rFont val="Noto Sans CJK SC"/>
        <family val="2"/>
      </rPr>
      <t xml:space="preserve">（モノタロウ </t>
    </r>
    <r>
      <rPr>
        <sz val="10"/>
        <rFont val="Arial"/>
        <family val="0"/>
        <charset val="1"/>
      </rPr>
      <t xml:space="preserve">08561682</t>
    </r>
    <r>
      <rPr>
        <sz val="10"/>
        <rFont val="Noto Sans CJK SC"/>
        <family val="2"/>
      </rPr>
      <t xml:space="preserve">）</t>
    </r>
  </si>
  <si>
    <t xml:space="preserve">メス端子 AWG18〜24用、すずめっき2.5µm、バラ品、100個入り</t>
  </si>
  <si>
    <t xml:space="preserve">すずめっきで統一。②ハーネス前部側（5557-14R）のSX(NE)芯線・ドレイン用。SX(NE)の絶縁体外径1.5mmは適合範囲1.3〜3.1mm内</t>
  </si>
  <si>
    <t xml:space="preserve">https://www.molex.com/ja-jp/products/part-detail/39000038</t>
  </si>
  <si>
    <t xml:space="preserve">4-2</t>
  </si>
  <si>
    <t xml:space="preserve">メス端子 AWG22〜28用</t>
  </si>
  <si>
    <r>
      <rPr>
        <sz val="10"/>
        <rFont val="Arial"/>
        <family val="0"/>
        <charset val="1"/>
      </rPr>
      <t xml:space="preserve">5556T2L</t>
    </r>
    <r>
      <rPr>
        <sz val="10"/>
        <rFont val="Noto Sans CJK SC"/>
        <family val="2"/>
      </rPr>
      <t xml:space="preserve">（モノタロウ </t>
    </r>
    <r>
      <rPr>
        <sz val="10"/>
        <rFont val="Arial"/>
        <family val="0"/>
        <charset val="1"/>
      </rPr>
      <t xml:space="preserve">08561691</t>
    </r>
    <r>
      <rPr>
        <sz val="10"/>
        <rFont val="Noto Sans CJK SC"/>
        <family val="2"/>
      </rPr>
      <t xml:space="preserve">）</t>
    </r>
  </si>
  <si>
    <t xml:space="preserve">メス端子 AWG22〜28用（被覆外径0.90〜1.80mm）、すずめっき2.5µm、バラ品、100個入り、税込1,309円</t>
  </si>
  <si>
    <t xml:space="preserve">すずめっきで統一。③後部ユニット側（5557-14R）のAWG26（6線ケーブル・信号線）用</t>
  </si>
  <si>
    <t xml:space="preserve">https://www.molex.com/ja-jp/products/part-detail/39000047</t>
  </si>
  <si>
    <t xml:space="preserve">オス端子 AWG16用</t>
  </si>
  <si>
    <r>
      <rPr>
        <sz val="10"/>
        <rFont val="Arial"/>
        <family val="0"/>
        <charset val="1"/>
      </rPr>
      <t xml:space="preserve">5558T3L</t>
    </r>
    <r>
      <rPr>
        <sz val="10"/>
        <rFont val="Noto Sans CJK SC"/>
        <family val="2"/>
      </rPr>
      <t xml:space="preserve">（モノタロウ </t>
    </r>
    <r>
      <rPr>
        <sz val="10"/>
        <rFont val="Arial"/>
        <family val="0"/>
        <charset val="1"/>
      </rPr>
      <t xml:space="preserve">75939333</t>
    </r>
    <r>
      <rPr>
        <sz val="10"/>
        <rFont val="Noto Sans CJK SC"/>
        <family val="2"/>
      </rPr>
      <t xml:space="preserve">）</t>
    </r>
  </si>
  <si>
    <t xml:space="preserve">オス端子 AWG16用、すずめっき2.5µm、バラ品、100個入り</t>
  </si>
  <si>
    <t xml:space="preserve">https://www.molex.com/ja-jp/products/part-detail/39000125</t>
  </si>
  <si>
    <t xml:space="preserve">オス端子 AWG18〜24用</t>
  </si>
  <si>
    <r>
      <rPr>
        <sz val="10"/>
        <rFont val="Arial"/>
        <family val="0"/>
        <charset val="1"/>
      </rPr>
      <t xml:space="preserve">5558TL</t>
    </r>
    <r>
      <rPr>
        <sz val="10"/>
        <rFont val="Noto Sans CJK SC"/>
        <family val="2"/>
      </rPr>
      <t xml:space="preserve">（モノタロウ </t>
    </r>
    <r>
      <rPr>
        <sz val="10"/>
        <rFont val="Arial"/>
        <family val="0"/>
        <charset val="1"/>
      </rPr>
      <t xml:space="preserve">08561454</t>
    </r>
    <r>
      <rPr>
        <sz val="10"/>
        <rFont val="Noto Sans CJK SC"/>
        <family val="2"/>
      </rPr>
      <t xml:space="preserve">）</t>
    </r>
  </si>
  <si>
    <t xml:space="preserve">オス端子 AWG18〜24用、すずめっき2.5µm、バラ品、100個入り</t>
  </si>
  <si>
    <t xml:space="preserve">すずめっきで統一。②ハーネス後部側（5559-14P）のSX(NE)芯線・ドレイン用</t>
  </si>
  <si>
    <t xml:space="preserve">https://www.molex.com/ja-jp/products/part-detail/39000121</t>
  </si>
  <si>
    <t xml:space="preserve">6-2</t>
  </si>
  <si>
    <t xml:space="preserve">オス端子 AWG22〜28用</t>
  </si>
  <si>
    <r>
      <rPr>
        <sz val="10"/>
        <rFont val="Arial"/>
        <family val="0"/>
        <charset val="1"/>
      </rPr>
      <t xml:space="preserve">5558T2L</t>
    </r>
    <r>
      <rPr>
        <sz val="10"/>
        <rFont val="Noto Sans CJK SC"/>
        <family val="2"/>
      </rPr>
      <t xml:space="preserve">（モノタロウ </t>
    </r>
    <r>
      <rPr>
        <sz val="10"/>
        <rFont val="Arial"/>
        <family val="0"/>
        <charset val="1"/>
      </rPr>
      <t xml:space="preserve">08561463</t>
    </r>
    <r>
      <rPr>
        <sz val="10"/>
        <rFont val="Noto Sans CJK SC"/>
        <family val="2"/>
      </rPr>
      <t xml:space="preserve">）</t>
    </r>
  </si>
  <si>
    <t xml:space="preserve">オス端子 AWG22〜28用（被覆外径0.90〜1.80mm）、すずめっき2.5µm、バラ品、100個入り、税込1,318円</t>
  </si>
  <si>
    <t xml:space="preserve">すずめっきで統一。①前部ユニット側（5559-14P）のAWG26（6線ケーブル・信号線）用</t>
  </si>
  <si>
    <t xml:space="preserve">https://www.molex.com/ja-jp/products/part-detail/39000123</t>
  </si>
  <si>
    <t xml:space="preserve">工具</t>
  </si>
  <si>
    <t xml:space="preserve">圧着工具 16AWG用</t>
  </si>
  <si>
    <r>
      <rPr>
        <sz val="10"/>
        <rFont val="Arial"/>
        <family val="0"/>
        <charset val="1"/>
      </rPr>
      <t xml:space="preserve">IWISS</t>
    </r>
    <r>
      <rPr>
        <sz val="10"/>
        <rFont val="Noto Sans CJK SC"/>
        <family val="2"/>
      </rPr>
      <t xml:space="preserve">（手持ち品で代用）</t>
    </r>
  </si>
  <si>
    <r>
      <rPr>
        <sz val="10"/>
        <rFont val="Arial"/>
        <family val="0"/>
        <charset val="1"/>
      </rPr>
      <t xml:space="preserve">SN-2549 </t>
    </r>
    <r>
      <rPr>
        <sz val="10"/>
        <rFont val="Noto Sans CJK SC"/>
        <family val="2"/>
      </rPr>
      <t xml:space="preserve">＋ </t>
    </r>
    <r>
      <rPr>
        <sz val="10"/>
        <rFont val="Arial"/>
        <family val="0"/>
        <charset val="1"/>
      </rPr>
      <t xml:space="preserve">48B</t>
    </r>
    <r>
      <rPr>
        <sz val="10"/>
        <rFont val="Noto Sans CJK SC"/>
        <family val="2"/>
      </rPr>
      <t xml:space="preserve">ダイス</t>
    </r>
  </si>
  <si>
    <r>
      <rPr>
        <sz val="10"/>
        <rFont val="Arial"/>
        <family val="0"/>
        <charset val="1"/>
      </rPr>
      <t xml:space="preserve">AWG16</t>
    </r>
    <r>
      <rPr>
        <sz val="10"/>
        <rFont val="Noto Sans CJK SC"/>
        <family val="2"/>
      </rPr>
      <t xml:space="preserve">は</t>
    </r>
    <r>
      <rPr>
        <sz val="10"/>
        <rFont val="Arial"/>
        <family val="0"/>
        <charset val="1"/>
      </rPr>
      <t xml:space="preserve">48B</t>
    </r>
    <r>
      <rPr>
        <sz val="10"/>
        <rFont val="Noto Sans CJK SC"/>
        <family val="2"/>
      </rPr>
      <t xml:space="preserve">ダイスの</t>
    </r>
    <r>
      <rPr>
        <sz val="10"/>
        <rFont val="Arial"/>
        <family val="0"/>
        <charset val="1"/>
      </rPr>
      <t xml:space="preserve">1.0</t>
    </r>
    <r>
      <rPr>
        <sz val="10"/>
        <rFont val="Noto Sans CJK SC"/>
        <family val="2"/>
      </rPr>
      <t xml:space="preserve">〜</t>
    </r>
    <r>
      <rPr>
        <sz val="10"/>
        <rFont val="Arial"/>
        <family val="0"/>
        <charset val="1"/>
      </rPr>
      <t xml:space="preserve">1.5sq</t>
    </r>
    <r>
      <rPr>
        <sz val="10"/>
        <rFont val="Noto Sans CJK SC"/>
        <family val="2"/>
      </rPr>
      <t xml:space="preserve">の溝で圧着</t>
    </r>
  </si>
  <si>
    <t xml:space="preserve">本</t>
  </si>
  <si>
    <t xml:space="preserve">試し圧着で確認：被覆側バレルの閉じ具合（モーター線の被覆外径2.7mm）、Molex仕様書の圧着高さ、引っ張り試験、ハウジングへの挿入</t>
  </si>
  <si>
    <t xml:space="preserve">購入不要（手持ち品）。不良なら純正200218-2200または63811-1000を検討</t>
  </si>
  <si>
    <t xml:space="preserve">なし（手持ち品）</t>
  </si>
  <si>
    <t xml:space="preserve">圧着工具 AWG20〜26用</t>
  </si>
  <si>
    <r>
      <rPr>
        <sz val="10"/>
        <rFont val="Arial"/>
        <family val="0"/>
        <charset val="1"/>
      </rPr>
      <t xml:space="preserve">SN-2549</t>
    </r>
    <r>
      <rPr>
        <sz val="10"/>
        <rFont val="Noto Sans CJK SC"/>
        <family val="2"/>
      </rPr>
      <t xml:space="preserve">（標準ダイス）</t>
    </r>
  </si>
  <si>
    <r>
      <rPr>
        <sz val="10"/>
        <rFont val="Arial"/>
        <family val="0"/>
        <charset val="1"/>
      </rPr>
      <t xml:space="preserve">SX(NE) 0.5sq</t>
    </r>
    <r>
      <rPr>
        <sz val="10"/>
        <rFont val="Noto Sans CJK SC"/>
        <family val="2"/>
      </rPr>
      <t xml:space="preserve">（</t>
    </r>
    <r>
      <rPr>
        <sz val="10"/>
        <rFont val="Arial"/>
        <family val="0"/>
        <charset val="1"/>
      </rPr>
      <t xml:space="preserve">AWG20</t>
    </r>
    <r>
      <rPr>
        <sz val="10"/>
        <rFont val="Noto Sans CJK SC"/>
        <family val="2"/>
      </rPr>
      <t xml:space="preserve">相当、</t>
    </r>
    <r>
      <rPr>
        <sz val="10"/>
        <rFont val="Arial"/>
        <family val="0"/>
        <charset val="1"/>
      </rPr>
      <t xml:space="preserve">TL</t>
    </r>
    <r>
      <rPr>
        <sz val="10"/>
        <rFont val="Noto Sans CJK SC"/>
        <family val="2"/>
      </rPr>
      <t xml:space="preserve">端子）と</t>
    </r>
    <r>
      <rPr>
        <sz val="10"/>
        <rFont val="Arial"/>
        <family val="0"/>
        <charset val="1"/>
      </rPr>
      <t xml:space="preserve">AWG26</t>
    </r>
    <r>
      <rPr>
        <sz val="10"/>
        <rFont val="Noto Sans CJK SC"/>
        <family val="2"/>
      </rPr>
      <t xml:space="preserve">（</t>
    </r>
    <r>
      <rPr>
        <sz val="10"/>
        <rFont val="Arial"/>
        <family val="0"/>
        <charset val="1"/>
      </rPr>
      <t xml:space="preserve">T2L</t>
    </r>
    <r>
      <rPr>
        <sz val="10"/>
        <rFont val="Noto Sans CJK SC"/>
        <family val="2"/>
      </rPr>
      <t xml:space="preserve">端子）を</t>
    </r>
    <r>
      <rPr>
        <sz val="10"/>
        <rFont val="Arial"/>
        <family val="0"/>
        <charset val="1"/>
      </rPr>
      <t xml:space="preserve">SN-2549</t>
    </r>
    <r>
      <rPr>
        <sz val="10"/>
        <rFont val="Noto Sans CJK SC"/>
        <family val="2"/>
      </rPr>
      <t xml:space="preserve">の標準ダイスで圧着</t>
    </r>
  </si>
  <si>
    <t xml:space="preserve">試し圧着で確認：芯線・被覆の両バレルの巻き具合、引っ張り試験、ハウジングへの挿入。AWG26がダイスの適合範囲に入るか確認。被覆外径0.98mmはT2Lの下限（0.90mm）に近いので被覆バレルの保持を重点的に確認</t>
  </si>
  <si>
    <t xml:space="preserve">購入不要（手持ち品）</t>
  </si>
  <si>
    <t xml:space="preserve">端子取り外し工具</t>
  </si>
  <si>
    <t xml:space="preserve">Molex</t>
  </si>
  <si>
    <t xml:space="preserve">11-03-0044</t>
  </si>
  <si>
    <r>
      <rPr>
        <sz val="10"/>
        <rFont val="Arial"/>
        <family val="0"/>
        <charset val="1"/>
      </rPr>
      <t xml:space="preserve">Mini-Fit Jr. </t>
    </r>
    <r>
      <rPr>
        <sz val="10"/>
        <rFont val="Noto Sans CJK SC"/>
        <family val="2"/>
      </rPr>
      <t xml:space="preserve">用エクストラクタ</t>
    </r>
  </si>
  <si>
    <t xml:space="preserve">ピン配置の修正、将来のDT移行に使用</t>
  </si>
  <si>
    <t xml:space="preserve">https://www.molex.com/ja-jp/products/part-detail/11030044</t>
  </si>
  <si>
    <t xml:space="preserve">電線</t>
  </si>
  <si>
    <t xml:space="preserve">4極ハーネス用 モーター線 AV1.25 車両用ビニル線 赤・黒（自作ツイスト）</t>
  </si>
  <si>
    <t xml:space="preserve">エーモン（モノタロウ）</t>
  </si>
  <si>
    <r>
      <rPr>
        <sz val="10"/>
        <rFont val="Arial"/>
        <family val="0"/>
        <charset val="1"/>
      </rPr>
      <t xml:space="preserve">3470 AV1.25 6m</t>
    </r>
    <r>
      <rPr>
        <sz val="10"/>
        <rFont val="Noto Sans CJK SC"/>
        <family val="2"/>
      </rPr>
      <t xml:space="preserve">（</t>
    </r>
    <r>
      <rPr>
        <sz val="10"/>
        <rFont val="Arial"/>
        <family val="0"/>
        <charset val="1"/>
      </rPr>
      <t xml:space="preserve">73991628</t>
    </r>
    <r>
      <rPr>
        <sz val="10"/>
        <rFont val="Noto Sans CJK SC"/>
        <family val="2"/>
      </rPr>
      <t xml:space="preserve">）を赤・黒の</t>
    </r>
    <r>
      <rPr>
        <sz val="10"/>
        <rFont val="Arial"/>
        <family val="0"/>
        <charset val="1"/>
      </rPr>
      <t xml:space="preserve">2</t>
    </r>
    <r>
      <rPr>
        <sz val="10"/>
        <rFont val="Noto Sans CJK SC"/>
        <family val="2"/>
      </rPr>
      <t xml:space="preserve">色で購入（黄・青は品切れ）</t>
    </r>
  </si>
  <si>
    <r>
      <rPr>
        <sz val="10"/>
        <rFont val="Arial"/>
        <family val="0"/>
        <charset val="1"/>
      </rPr>
      <t xml:space="preserve">1.25sq</t>
    </r>
    <r>
      <rPr>
        <sz val="10"/>
        <rFont val="Noto Sans CJK SC"/>
        <family val="2"/>
      </rPr>
      <t xml:space="preserve">、素線</t>
    </r>
    <r>
      <rPr>
        <sz val="10"/>
        <rFont val="Arial"/>
        <family val="0"/>
        <charset val="1"/>
      </rPr>
      <t xml:space="preserve">50</t>
    </r>
    <r>
      <rPr>
        <sz val="10"/>
        <rFont val="Noto Sans CJK SC"/>
        <family val="2"/>
      </rPr>
      <t xml:space="preserve">本のより線、耐油・耐候性ビニル、導体最高許容温度</t>
    </r>
    <r>
      <rPr>
        <sz val="10"/>
        <rFont val="Arial"/>
        <family val="0"/>
        <charset val="1"/>
      </rPr>
      <t xml:space="preserve">80℃</t>
    </r>
    <r>
      <rPr>
        <sz val="10"/>
        <rFont val="Noto Sans CJK SC"/>
        <family val="2"/>
      </rPr>
      <t xml:space="preserve">、許容電流</t>
    </r>
    <r>
      <rPr>
        <sz val="10"/>
        <rFont val="Arial"/>
        <family val="0"/>
        <charset val="1"/>
      </rPr>
      <t xml:space="preserve">11.6A</t>
    </r>
    <r>
      <rPr>
        <sz val="10"/>
        <rFont val="Noto Sans CJK SC"/>
        <family val="2"/>
      </rPr>
      <t xml:space="preserve">。赤＝＋、黒＝−で左右モーター用に</t>
    </r>
    <r>
      <rPr>
        <sz val="10"/>
        <rFont val="Arial"/>
        <family val="0"/>
        <charset val="1"/>
      </rPr>
      <t xml:space="preserve">2</t>
    </r>
    <r>
      <rPr>
        <sz val="10"/>
        <rFont val="Noto Sans CJK SC"/>
        <family val="2"/>
      </rPr>
      <t xml:space="preserve">組ツイスト</t>
    </r>
  </si>
  <si>
    <t xml:space="preserve">本（色）</t>
  </si>
  <si>
    <t xml:space="preserve">被覆外径（約2.7〜3mm）を測り5556T3L／5558T3Lで試し圧着。各色約2.6m必要（6mで余裕あり）。左右は色で区別できないため、No.18のマーカーチューブで「R」「L」を表示</t>
  </si>
  <si>
    <t xml:space="preserve">赤・黒 各6m×1（作り直し・予備を含む）。将来の置き換え候補：大電 ロボトップ(DPC3-SB/2517)AWG16 4c（モノタロウ 34967274）</t>
  </si>
  <si>
    <t xml:space="preserve">なし（エーモン、購入先：モノタロウ 73991628）</t>
  </si>
  <si>
    <t xml:space="preserve">GH 6ピン ハウジング（PM02・Pixhawk側）</t>
  </si>
  <si>
    <t xml:space="preserve">日本圧着端子製造（JST）</t>
  </si>
  <si>
    <t xml:space="preserve">GHR-06V-S</t>
  </si>
  <si>
    <t xml:space="preserve">1.25mmピッチ、6極、ワイヤー対基板用ハウジング（JST GHシリーズ）</t>
  </si>
  <si>
    <t xml:space="preserve">個</t>
  </si>
  <si>
    <t xml:space="preserve">③はPM02 V3の6ピン、①はPixhawk 6C Mini POWER1に挿す。ピン1・2＝5V、3＝CURRENT、4＝VOLTAGE、5・6＝GND（PM02付属ケーブルの並びと照合）</t>
  </si>
  <si>
    <t xml:space="preserve">購入先未定。予備を含め多めに購入</t>
  </si>
  <si>
    <t xml:space="preserve">JST GHシリーズ データシート：https://www.jst-mfg.com/product/pdf/eng/eGH.pdf</t>
  </si>
  <si>
    <t xml:space="preserve">11-2</t>
  </si>
  <si>
    <t xml:space="preserve">GH 圧着コンタクト</t>
  </si>
  <si>
    <t xml:space="preserve">SSHL-002T-P0.2</t>
  </si>
  <si>
    <t xml:space="preserve">AWG30〜26（0.05〜0.13mm²）、被覆外径0.8〜1.0mm</t>
  </si>
  <si>
    <t xml:space="preserve">住友AWG26（被覆外径0.98mm）は適合範囲の上限付近。試し圧着で被覆バレルの閉じ具合とハウジングへの挿入を確認</t>
  </si>
  <si>
    <t xml:space="preserve">購入先未定。購入数は練習・予備分（条件シートの購入倍率）を含む</t>
  </si>
  <si>
    <t xml:space="preserve">11-3</t>
  </si>
  <si>
    <t xml:space="preserve">GH用 圧着工具</t>
  </si>
  <si>
    <t xml:space="preserve">—</t>
  </si>
  <si>
    <t xml:space="preserve">品番未定（JST GH SSHL-002T-P0.2に対応する1.25mmピッチ用ハンド圧着工具）</t>
  </si>
  <si>
    <t xml:space="preserve">AWG26〜30、オープンバレル端子用</t>
  </si>
  <si>
    <t xml:space="preserve">IWISS SN-2549（Mini-Fit用）では圧着できない。適合表でSSHL-002T-P0.2（AWG26）への対応を確認してから購入</t>
  </si>
  <si>
    <t xml:space="preserve">品番未定</t>
  </si>
  <si>
    <t xml:space="preserve">品番決定後に記入</t>
  </si>
  <si>
    <t xml:space="preserve">ユニット側 AWG26 単線（5V×2・GND×2・CURRENT・VOLTAGE・RC右・RC左・信号GND・ドレイン）</t>
  </si>
  <si>
    <t xml:space="preserve">住友電工（秋月電子）</t>
  </si>
  <si>
    <t xml:space="preserve">耐熱電子ワイヤー 1m×9色 AWG26（秋月電子 118293）</t>
  </si>
  <si>
    <t xml:space="preserve">AWG26、7本／0.16mm すずめっき軟銅より線、被覆外径0.98mm、イラックスV2、最高80℃、税込440円</t>
  </si>
  <si>
    <t xml:space="preserve">①③とも約10cm×最大10本（6ピン電源用6本＋RC・信号GND・ドレイン4本）。UL AWM 1571（30V、80℃）。9色のため、足りない分はマーカーチューブで区別し、色の割り当てをピン配置シートに記録</t>
  </si>
  <si>
    <t xml:space="preserve">9色×1mで①③分に足りる</t>
  </si>
  <si>
    <t xml:space="preserve">UL AWM 1571 データシート（住友電工）：https://akizukidenshi.com/goodsaffix/ulawm1571.pdf</t>
  </si>
  <si>
    <t xml:space="preserve">12-2</t>
  </si>
  <si>
    <t xml:space="preserve">ユニット側 AWG24 単線（SW COM・SW NC・LED＋・LED−）</t>
  </si>
  <si>
    <t xml:space="preserve">協和ハーモネット（秋月電子）</t>
  </si>
  <si>
    <t xml:space="preserve">耐熱電子ワイヤー 2m×7色 UL3265 AWG24（秋月電子 106756）</t>
  </si>
  <si>
    <t xml:space="preserve">AWG24、11本／0.16mm すずめっき軟銅より線、被覆外径1.21mm、難燃架橋ポリエチレン、125℃、150V、税込720円</t>
  </si>
  <si>
    <t xml:space="preserve">7S LiPo電圧（最大29.4V）がかかる4本用。AWG26（UL1571）は定格30Vで余裕がないため、150V定格のこの線を使う。T2L端子（被覆外径0.90〜1.80mm）で圧着</t>
  </si>
  <si>
    <t xml:space="preserve">①③とも約10cm×4本</t>
  </si>
  <si>
    <t xml:space="preserve">なし（協和ハーモネット、UL3265。購入先：秋月電子 106756）</t>
  </si>
  <si>
    <r>
      <rPr>
        <sz val="10"/>
        <rFont val="Arial"/>
        <family val="0"/>
        <charset val="1"/>
      </rPr>
      <t xml:space="preserve">14</t>
    </r>
    <r>
      <rPr>
        <sz val="10"/>
        <rFont val="Noto Sans CJK SC"/>
        <family val="2"/>
      </rPr>
      <t xml:space="preserve">極ハーネス用 シールド付きツイストペアケーブル（</t>
    </r>
    <r>
      <rPr>
        <sz val="10"/>
        <rFont val="Arial"/>
        <family val="0"/>
        <charset val="1"/>
      </rPr>
      <t xml:space="preserve">RC</t>
    </r>
    <r>
      <rPr>
        <sz val="10"/>
        <rFont val="Noto Sans CJK SC"/>
        <family val="2"/>
      </rPr>
      <t xml:space="preserve">信号・</t>
    </r>
    <r>
      <rPr>
        <sz val="10"/>
        <rFont val="Arial"/>
        <family val="0"/>
        <charset val="1"/>
      </rPr>
      <t xml:space="preserve">5V</t>
    </r>
    <r>
      <rPr>
        <sz val="10"/>
        <rFont val="Noto Sans CJK SC"/>
        <family val="2"/>
      </rPr>
      <t xml:space="preserve">・アナログ・非常停止</t>
    </r>
    <r>
      <rPr>
        <sz val="10"/>
        <rFont val="Arial"/>
        <family val="0"/>
        <charset val="1"/>
      </rPr>
      <t xml:space="preserve">SW</t>
    </r>
    <r>
      <rPr>
        <sz val="10"/>
        <rFont val="Noto Sans CJK SC"/>
        <family val="2"/>
      </rPr>
      <t xml:space="preserve">・</t>
    </r>
    <r>
      <rPr>
        <sz val="10"/>
        <rFont val="Arial"/>
        <family val="0"/>
        <charset val="1"/>
      </rPr>
      <t xml:space="preserve">LED</t>
    </r>
    <r>
      <rPr>
        <sz val="10"/>
        <rFont val="Noto Sans CJK SC"/>
        <family val="2"/>
      </rPr>
      <t xml:space="preserve">）</t>
    </r>
  </si>
  <si>
    <t xml:space="preserve">太陽ケーブルテック（旧テイコク）</t>
  </si>
  <si>
    <r>
      <rPr>
        <sz val="10"/>
        <rFont val="Arial"/>
        <family val="0"/>
        <charset val="1"/>
      </rPr>
      <t xml:space="preserve">SX(NE) 0.5sq×7P</t>
    </r>
    <r>
      <rPr>
        <sz val="10"/>
        <rFont val="Noto Sans CJK SC"/>
        <family val="2"/>
      </rPr>
      <t xml:space="preserve">（モノタロウ </t>
    </r>
    <r>
      <rPr>
        <sz val="10"/>
        <rFont val="Arial"/>
        <family val="0"/>
        <charset val="1"/>
      </rPr>
      <t xml:space="preserve">5m</t>
    </r>
    <r>
      <rPr>
        <sz val="10"/>
        <rFont val="Noto Sans CJK SC"/>
        <family val="2"/>
      </rPr>
      <t xml:space="preserve">巻 </t>
    </r>
    <r>
      <rPr>
        <sz val="10"/>
        <rFont val="Arial"/>
        <family val="0"/>
        <charset val="1"/>
      </rPr>
      <t xml:space="preserve">34956862</t>
    </r>
    <r>
      <rPr>
        <sz val="10"/>
        <rFont val="Noto Sans CJK SC"/>
        <family val="2"/>
      </rPr>
      <t xml:space="preserve">）</t>
    </r>
  </si>
  <si>
    <t xml:space="preserve">0.5mm²×7対、編組シールド＋ドレインワイヤ、絶縁体外径1.5mm、仕上外径9.9mm、許容電流5.4A、150V</t>
  </si>
  <si>
    <t xml:space="preserve">巻（5m）</t>
  </si>
  <si>
    <t xml:space="preserve">ペア1：RC右＋信号GND、ペア2：RC左＋信号GND、ペア3：5V＋GND、ペア4：SW COM＋NC、ペア5：LED＋＋LED−、ペア6：CURRENT＋VOLTAGE、ペア7：5V＋GND（2本目）。芯線の色をピン配置シートに記録。信号GNDは2本を1端子にダブル圧着</t>
  </si>
  <si>
    <t xml:space="preserve">5m巻×1（1台分の必要量は約1.2m。作り直し・予備を含む）。税別9,498円、出荷6日以内。2m巻（34956381）でも1台分は可</t>
  </si>
  <si>
    <t xml:space="preserve">カタログ（IPROS）：https://mono.ipros.com/product/detail/2000637273/
SX(NE)仕様（MISUMI）：https://chk0-jp.misumi-ec.com/pdf/el/2015_H/1258.pdf
仕様変更のお知らせ：https://www.koshow.jp/topics/2023/07/post-18.html</t>
  </si>
  <si>
    <t xml:space="preserve">材料</t>
  </si>
  <si>
    <t xml:space="preserve">編組チューブ（PET編組スリーブ）</t>
  </si>
  <si>
    <t xml:space="preserve">デンカエレクトロン</t>
  </si>
  <si>
    <r>
      <rPr>
        <sz val="10"/>
        <rFont val="Arial"/>
        <family val="0"/>
        <charset val="1"/>
      </rPr>
      <t xml:space="preserve">FL-12-5</t>
    </r>
    <r>
      <rPr>
        <sz val="10"/>
        <rFont val="Noto Sans CJK SC"/>
        <family val="2"/>
      </rPr>
      <t xml:space="preserve">（モノタロウ </t>
    </r>
    <r>
      <rPr>
        <sz val="10"/>
        <rFont val="Arial"/>
        <family val="0"/>
        <charset val="1"/>
      </rPr>
      <t xml:space="preserve">34658872</t>
    </r>
    <r>
      <rPr>
        <sz val="10"/>
        <rFont val="Noto Sans CJK SC"/>
        <family val="2"/>
      </rPr>
      <t xml:space="preserve">、全長</t>
    </r>
    <r>
      <rPr>
        <sz val="10"/>
        <rFont val="Arial"/>
        <family val="0"/>
        <charset val="1"/>
      </rPr>
      <t xml:space="preserve">5m</t>
    </r>
    <r>
      <rPr>
        <sz val="10"/>
        <rFont val="Noto Sans CJK SC"/>
        <family val="2"/>
      </rPr>
      <t xml:space="preserve">、最大径約</t>
    </r>
    <r>
      <rPr>
        <sz val="10"/>
        <rFont val="Arial"/>
        <family val="0"/>
        <charset val="1"/>
      </rPr>
      <t xml:space="preserve">24mm</t>
    </r>
    <r>
      <rPr>
        <sz val="10"/>
        <rFont val="Noto Sans CJK SC"/>
        <family val="2"/>
      </rPr>
      <t xml:space="preserve">）</t>
    </r>
  </si>
  <si>
    <t xml:space="preserve">ポリエステルモノフィラメント、−75〜125℃、UL224、自己消火性。自然折径幅約12〜13mm</t>
  </si>
  <si>
    <t xml:space="preserve">本（5m）</t>
  </si>
  <si>
    <t xml:space="preserve">2本のハーネスそれぞれに使用：4極ハーネス（AVツイストペア2組、外径10mm前後）、14極ハーネス（SX(NE)単体、外径9.9mm）。FL-12（自然折径約12mm、最大径約24mm）はどちらにも適合。切り口ははんだごてで溶着し、熱収縮チューブで仕上げる。SX(NE)はシースがあるため、擦れの心配がない区間は省略可</t>
  </si>
  <si>
    <r>
      <rPr>
        <sz val="10"/>
        <rFont val="Arial"/>
        <family val="0"/>
        <charset val="1"/>
      </rPr>
      <t xml:space="preserve">5m</t>
    </r>
    <r>
      <rPr>
        <sz val="10"/>
        <rFont val="Noto Sans CJK SC"/>
        <family val="2"/>
      </rPr>
      <t xml:space="preserve">巻</t>
    </r>
    <r>
      <rPr>
        <sz val="10"/>
        <rFont val="Arial"/>
        <family val="0"/>
        <charset val="1"/>
      </rPr>
      <t xml:space="preserve">×1</t>
    </r>
    <r>
      <rPr>
        <sz val="10"/>
        <rFont val="Noto Sans CJK SC"/>
        <family val="2"/>
      </rPr>
      <t xml:space="preserve">から約</t>
    </r>
    <r>
      <rPr>
        <sz val="10"/>
        <rFont val="Arial"/>
        <family val="0"/>
        <charset val="1"/>
      </rPr>
      <t xml:space="preserve">0.72m×2</t>
    </r>
    <r>
      <rPr>
        <sz val="10"/>
        <rFont val="Noto Sans CJK SC"/>
        <family val="2"/>
      </rPr>
      <t xml:space="preserve">本（</t>
    </r>
    <r>
      <rPr>
        <sz val="10"/>
        <rFont val="Arial"/>
        <family val="0"/>
        <charset val="1"/>
      </rPr>
      <t xml:space="preserve">4</t>
    </r>
    <r>
      <rPr>
        <sz val="10"/>
        <rFont val="Noto Sans CJK SC"/>
        <family val="2"/>
      </rPr>
      <t xml:space="preserve">極用・</t>
    </r>
    <r>
      <rPr>
        <sz val="10"/>
        <rFont val="Arial"/>
        <family val="0"/>
        <charset val="1"/>
      </rPr>
      <t xml:space="preserve">14</t>
    </r>
    <r>
      <rPr>
        <sz val="10"/>
        <rFont val="Noto Sans CJK SC"/>
        <family val="2"/>
      </rPr>
      <t xml:space="preserve">極用）を切り出す</t>
    </r>
  </si>
  <si>
    <t xml:space="preserve">カタログ：https://jp.images-monotaro.com/etc/pdf/product/product_1462545_20251105_01.pdf
RoHS2証明書：https://jp.images-monotaro.com/etc/pdf/product/product_1462545_20251105_02.pdf
非含有証明書：https://jp.images-monotaro.com/etc/pdf/product/product_1462545_20251105_03.pdf</t>
  </si>
  <si>
    <t xml:space="preserve">熱収縮チューブ（パック品）</t>
  </si>
  <si>
    <t xml:space="preserve">モノタロウ</t>
  </si>
  <si>
    <t xml:space="preserve">収縮チューブ パック品（モノタロウ 60981052）</t>
  </si>
  <si>
    <t xml:space="preserve">収縮前内径1.5/2.5/3.0/4.5/6.5/10.7/12.7mm 各1m×7本、2:1、−55〜125℃、600V</t>
  </si>
  <si>
    <t xml:space="preserve">セット</t>
  </si>
  <si>
    <t xml:space="preserve">用途の目安：ドレイン線1.5mm、AV線ツイスト端10.7mm、SX(NE)外被端10.7〜12.7mm、編組チューブ端部（各ハーネス外径10mm前後）12.7mm</t>
  </si>
  <si>
    <t xml:space="preserve">PANDUIT HSTT-YK1／YK2は各15cm×2本で量が不足するため使用しない</t>
  </si>
  <si>
    <t xml:space="preserve">RoHS指令対応証明書：https://jp.images-monotaro.com/etc/pdf/rohs/G2773351_RoHS_done_20260703.pdf</t>
  </si>
  <si>
    <t xml:space="preserve">ハーネス結束用テープ（布）</t>
  </si>
  <si>
    <t xml:space="preserve">テープ ハーネス結束用（モノタロウ 89826862）</t>
  </si>
  <si>
    <t xml:space="preserve">ポリエステル布基材、アクリル系粘着剤、幅19mm×19.6m、厚さ0.3mm、−40〜105℃、手切り可</t>
  </si>
  <si>
    <t xml:space="preserve">巻</t>
  </si>
  <si>
    <t xml:space="preserve">4極ハーネス（AVツイストペア2組）を10〜15cm間隔で束ねる。14極ハーネスはSX(NE)単体のため、端部とクリップ部の保護に使用。両端に巻いて「前部／後部」「MOTOR／SIGNAL」を油性ペンで記入</t>
  </si>
  <si>
    <t xml:space="preserve">今回はこちらを購入。代替：キタコ ハーネステープ PVC 0900-755-07010（モノタロウ 73778959、幅19mm×20m、税込395円）</t>
  </si>
  <si>
    <t xml:space="preserve">なし（モノタロウPB。SDS・RoHS等はモノタロウへ依頼可）</t>
  </si>
  <si>
    <t xml:space="preserve">ケーブルクリップ（ねじ固定式）</t>
  </si>
  <si>
    <t xml:space="preserve">TRUSCO</t>
  </si>
  <si>
    <t xml:space="preserve">TCCシリーズ。同軸用：TCC0（適合径3.1mm、モノタロウ 48918886）。ハーネス用：4極・14極とも外径10mm前後のため12.7mmサイズが候補（ハーネスを組んで外径確認後に購入）</t>
  </si>
  <si>
    <t xml:space="preserve">ナイロン66、取付穴4.8mm（M4ねじ）、100個入り。適合径3.1〜36.7mmの12サイズ</t>
  </si>
  <si>
    <t xml:space="preserve">袋</t>
  </si>
  <si>
    <t xml:space="preserve">4極ハーネス・14極ハーネス・GNSS同軸をそれぞれ別のクリップで固定し、互いに数cm離す。クリップはハーネスより少し大きいサイズを選び、隙間は布テープで調整。締めすぎ注意（ナイロン割れ・同軸の潰れ）</t>
  </si>
  <si>
    <t xml:space="preserve">TCC0×1袋を購入。ハーネス用（12.7mm候補）は外径確認後に追加購入。固定箇所はハーネス2本分（各3〜4か所）。M4ねじ・ナットは別途</t>
  </si>
  <si>
    <t xml:space="preserve">なし（TRUSCO。SDS・RoHS等はモノタロウへ依頼可）</t>
  </si>
  <si>
    <t xml:space="preserve">マーカーチューブ（ビニールチューブ 白）</t>
  </si>
  <si>
    <r>
      <rPr>
        <sz val="10"/>
        <rFont val="Arial"/>
        <family val="0"/>
        <charset val="1"/>
      </rPr>
      <t xml:space="preserve">TB-3.2W</t>
    </r>
    <r>
      <rPr>
        <sz val="10"/>
        <rFont val="Noto Sans CJK SC"/>
        <family val="2"/>
      </rPr>
      <t xml:space="preserve">（モノタロウ </t>
    </r>
    <r>
      <rPr>
        <sz val="10"/>
        <rFont val="Arial"/>
        <family val="0"/>
        <charset val="1"/>
      </rPr>
      <t xml:space="preserve">34690083</t>
    </r>
    <r>
      <rPr>
        <sz val="10"/>
        <rFont val="Noto Sans CJK SC"/>
        <family val="2"/>
      </rPr>
      <t xml:space="preserve">）</t>
    </r>
  </si>
  <si>
    <t xml:space="preserve">内径3.2mm、肉厚0.45mm、軟質PVC、白、5m、−20〜60℃</t>
  </si>
  <si>
    <t xml:space="preserve">圧着前に電線へ通す。油性ペンで「R+」「R−」「L+」「L−」などと記入（必要に応じ透明熱収縮チューブで保護）。①②③の各端部に約1.5cm（最大24か所）</t>
  </si>
  <si>
    <t xml:space="preserve">AV線が赤黒2色のみのため左右の区別に使用。「前部」「後部」は布テープ（No.16）に記入</t>
  </si>
  <si>
    <t xml:space="preserve">カタログ：https://jp.images-monotaro.com/etc/pdf/product/product_77055625_20250625_01.pdf
RoHS2証明書：https://jp.images-monotaro.com/etc/pdf/product/product_77055625_20250625_02.pdf
含有有無：https://jp.images-monotaro.com/etc/pdf/product/product_77055625_20250625_03.pdf</t>
  </si>
  <si>
    <t xml:space="preserve">Dupont 1×3ピン ハウジング＋メス端子</t>
  </si>
  <si>
    <r>
      <rPr>
        <sz val="10"/>
        <rFont val="Arial"/>
        <family val="0"/>
        <charset val="1"/>
      </rPr>
      <t xml:space="preserve">2.54mm</t>
    </r>
    <r>
      <rPr>
        <sz val="10"/>
        <rFont val="Noto Sans CJK SC"/>
        <family val="2"/>
      </rPr>
      <t xml:space="preserve">ピッチ </t>
    </r>
    <r>
      <rPr>
        <sz val="10"/>
        <rFont val="Arial"/>
        <family val="0"/>
        <charset val="1"/>
      </rPr>
      <t xml:space="preserve">1×3 </t>
    </r>
    <r>
      <rPr>
        <sz val="10"/>
        <rFont val="Noto Sans CJK SC"/>
        <family val="2"/>
      </rPr>
      <t xml:space="preserve">ハウジング、メス圧着端子（</t>
    </r>
    <r>
      <rPr>
        <sz val="10"/>
        <rFont val="Arial"/>
        <family val="0"/>
        <charset val="1"/>
      </rPr>
      <t xml:space="preserve">AWG22</t>
    </r>
    <r>
      <rPr>
        <sz val="10"/>
        <rFont val="Noto Sans CJK SC"/>
        <family val="2"/>
      </rPr>
      <t xml:space="preserve">〜</t>
    </r>
    <r>
      <rPr>
        <sz val="10"/>
        <rFont val="Arial"/>
        <family val="0"/>
        <charset val="1"/>
      </rPr>
      <t xml:space="preserve">28</t>
    </r>
    <r>
      <rPr>
        <sz val="10"/>
        <rFont val="Noto Sans CJK SC"/>
        <family val="2"/>
      </rPr>
      <t xml:space="preserve">用）</t>
    </r>
  </si>
  <si>
    <t xml:space="preserve">MDDS30のRC1・RC2（SIG・5V・GNDの3ピン）用。中央の5Vは空き</t>
  </si>
  <si>
    <t xml:space="preserve">組</t>
  </si>
  <si>
    <t xml:space="preserve">前部：Pixhawk 6C Mini のRC出力（S・＋・−）用2組、後部：MDDS30 のRC1・RC2用2組。どちらも中央の＋（5V）は空き。ユニット側のAWG26をそのまま圧着。逆挿し防止のためハウジングと相手側にGND側の印、R／Lの印を付ける。振動で抜けないようホットボンド等で固定</t>
  </si>
  <si>
    <t xml:space="preserve">ハウジング4個＋端子8個（予備含め多めに）。手持ちのDupontキットがあれば購入不要</t>
  </si>
  <si>
    <t xml:space="preserve">なし（汎用品）</t>
  </si>
  <si>
    <t xml:space="preserve">XT60コネクタ（モーター接続用）</t>
  </si>
  <si>
    <t xml:space="preserve">Amass（常州アマス電子）</t>
  </si>
  <si>
    <r>
      <rPr>
        <sz val="10"/>
        <rFont val="Arial"/>
        <family val="0"/>
        <charset val="1"/>
      </rPr>
      <t xml:space="preserve">XT60H-F</t>
    </r>
    <r>
      <rPr>
        <sz val="10"/>
        <rFont val="Noto Sans CJK SC"/>
        <family val="2"/>
      </rPr>
      <t xml:space="preserve">（①ハーネス側＝通電側、メス）／</t>
    </r>
    <r>
      <rPr>
        <sz val="10"/>
        <rFont val="Arial"/>
        <family val="0"/>
        <charset val="1"/>
      </rPr>
      <t xml:space="preserve">XT60H-M</t>
    </r>
    <r>
      <rPr>
        <sz val="10"/>
        <rFont val="Noto Sans CJK SC"/>
        <family val="2"/>
      </rPr>
      <t xml:space="preserve">（モーター側、オス）</t>
    </r>
  </si>
  <si>
    <t xml:space="preserve">はんだカップ式、DC500V、定格30A（瞬間60A）、CE・UL</t>
  </si>
  <si>
    <t xml:space="preserve">①前部ユニットのモーター線（AWG16）と左右モーターの接続用。通電側（コントローラ側）をメスにする。モーターに既にXT60が付いている場合は性別を確認し、必要な側だけ購入。正規品は本体に「AMASS」の刻印があることを受入時に確認</t>
  </si>
  <si>
    <t xml:space="preserve">購入先候補：モノタロウ XT60H-M（68706666、税込208円、メーカー表記なし→刻印を確認）。メスは購入先未定</t>
  </si>
  <si>
    <t xml:space="preserve">Amass XT60H-M 仕様シート：https://cdn.eicom.ru/media/PDF/XT60H-M.pdf
Amass ダウンロードページ：https://www.china-amass.com/download/</t>
  </si>
  <si>
    <t xml:space="preserve">JST XA 4ピン ハウジング（電源基板のスイッチ用）</t>
  </si>
  <si>
    <t xml:space="preserve">XAP-04V-1</t>
  </si>
  <si>
    <t xml:space="preserve">2.5mmピッチ、4極、ワイヤー対基板用ハウジング</t>
  </si>
  <si>
    <t xml:space="preserve">③後部ユニットのSW COM・SW NC・LED＋・LED−を電源基板のスイッチ用コネクタへ。ピン並びは電源基板側の図面で確認</t>
  </si>
  <si>
    <t xml:space="preserve">JST XA データシート：https://www.farnell.com/datasheets/1626572.pdf</t>
  </si>
  <si>
    <t xml:space="preserve">21-2</t>
  </si>
  <si>
    <t xml:space="preserve">JST XA 圧着コンタクト</t>
  </si>
  <si>
    <t xml:space="preserve">SXA-001T-P0.6</t>
  </si>
  <si>
    <t xml:space="preserve">AWG28〜22（0.08〜0.33mm²）</t>
  </si>
  <si>
    <t xml:space="preserve">SW・LED用のAWG24（UL3265）を圧着。適合する圧着工具（ダイス）を確認し、試し圧着で引っ張り試験</t>
  </si>
  <si>
    <t xml:space="preserve">絶縁被覆付き丸形圧着端子（MDDS30のモーター出力用）</t>
  </si>
  <si>
    <t xml:space="preserve">ニチフ</t>
  </si>
  <si>
    <r>
      <rPr>
        <sz val="10"/>
        <rFont val="Arial"/>
        <family val="0"/>
        <charset val="1"/>
      </rPr>
      <t xml:space="preserve">TMEV1.25-◯</t>
    </r>
    <r>
      <rPr>
        <sz val="10"/>
        <rFont val="Noto Sans CJK SC"/>
        <family val="2"/>
      </rPr>
      <t xml:space="preserve">（◯＝ねじの呼び径。</t>
    </r>
    <r>
      <rPr>
        <sz val="10"/>
        <rFont val="Arial"/>
        <family val="0"/>
        <charset val="1"/>
      </rPr>
      <t xml:space="preserve">MDDS30</t>
    </r>
    <r>
      <rPr>
        <sz val="10"/>
        <rFont val="Noto Sans CJK SC"/>
        <family val="2"/>
      </rPr>
      <t xml:space="preserve">の端子ねじに合わせる）</t>
    </r>
  </si>
  <si>
    <t xml:space="preserve">銅線用 R形（丸形）、1.25sq用、絶縁被覆ポリ塩化ビニル、JIS C 2805</t>
  </si>
  <si>
    <t xml:space="preserve">③後部ユニットのモーター線（AV1.25）をMDDS30のMLA・MLB・MRA・MRBへ。MDDS30の端子台が「ねじで押さえ板を締める形」か「穴に差し込む形（ボックス形）」かを現物で確認。差し込む形の場合、丸形端子は使えないため棒形端子（フェルール）に変更する</t>
  </si>
  <si>
    <t xml:space="preserve">ねじ径とパック品の入数を確認して購入。JST FV1.25シリーズでも可</t>
  </si>
  <si>
    <t xml:space="preserve">ニチフ TMEV カタログ：https://vn.c.misumi-ec.com/book/NCF1_E03/pdf/0001.pdf
（代替）JST FV・Vシリーズ カタログ：https://docs.rs-online.com/941e/0900766b80fc8d98.pdf</t>
  </si>
  <si>
    <t xml:space="preserve">集計</t>
  </si>
  <si>
    <t xml:space="preserve">確認済の項目数</t>
  </si>
  <si>
    <t xml:space="preserve">受領済の項目数</t>
  </si>
  <si>
    <t xml:space="preserve">注記</t>
  </si>
  <si>
    <t xml:space="preserve">・品番は公開されている販売店・メーカー資料で確認したもの（2026年10月時点）。購入前にMolexの製品ページで最新情報を確認してください。</t>
  </si>
  <si>
    <t xml:space="preserve">・16AWG用端子の圧着工具・アプリケータは被覆外径別（1.80〜2.20mm、2.20〜2.45mm、2.60〜3.15mm）に分かれる。モーター線（エーモンAV1.25）の被覆外径は約2.7〜3mm。</t>
  </si>
  <si>
    <t xml:space="preserve">・端子のめっきはオス・メスともすずめっきで統一する（すずと金を混ぜると、振動・水分によるフレッティング腐食や異種金属腐食で接触抵抗が上がる）。</t>
  </si>
  <si>
    <t xml:space="preserve">・①③の引き出し長さは約10cm（ユーザー提示）、クランプ数は仮定値。「条件」シートで実寸に変更すると数量が更新される。</t>
  </si>
  <si>
    <r>
      <rPr>
        <b val="true"/>
        <sz val="14"/>
        <rFont val="Arial"/>
        <family val="0"/>
        <charset val="1"/>
      </rPr>
      <t xml:space="preserve">4</t>
    </r>
    <r>
      <rPr>
        <b val="true"/>
        <sz val="14"/>
        <rFont val="Noto Sans CJK SC"/>
        <family val="2"/>
      </rPr>
      <t xml:space="preserve">極ハーネス＋</t>
    </r>
    <r>
      <rPr>
        <b val="true"/>
        <sz val="14"/>
        <rFont val="Arial"/>
        <family val="0"/>
        <charset val="1"/>
      </rPr>
      <t xml:space="preserve">14</t>
    </r>
    <r>
      <rPr>
        <b val="true"/>
        <sz val="14"/>
        <rFont val="Noto Sans CJK SC"/>
        <family val="2"/>
      </rPr>
      <t xml:space="preserve">極ハーネス 中継コネクタ ピン配置 </t>
    </r>
    <r>
      <rPr>
        <b val="true"/>
        <sz val="14"/>
        <rFont val="Arial"/>
        <family val="0"/>
        <charset val="1"/>
      </rPr>
      <t xml:space="preserve">Ver.1</t>
    </r>
    <r>
      <rPr>
        <b val="true"/>
        <sz val="14"/>
        <rFont val="Noto Sans CJK SC"/>
        <family val="2"/>
      </rPr>
      <t xml:space="preserve">（両方の中継位置で共通）</t>
    </r>
  </si>
  <si>
    <t xml:space="preserve">実際のピン番号はハウジングの図面で確認し、「実際のピン番号」列に記入してください。</t>
  </si>
  <si>
    <t xml:space="preserve">列</t>
  </si>
  <si>
    <t xml:space="preserve">段</t>
  </si>
  <si>
    <t xml:space="preserve">信号</t>
  </si>
  <si>
    <t xml:space="preserve">AWG</t>
  </si>
  <si>
    <t xml:space="preserve">実際のピン番号</t>
  </si>
  <si>
    <t xml:space="preserve">備考</t>
  </si>
  <si>
    <r>
      <rPr>
        <sz val="10"/>
        <rFont val="Arial"/>
        <family val="0"/>
        <charset val="1"/>
      </rPr>
      <t xml:space="preserve">4</t>
    </r>
    <r>
      <rPr>
        <sz val="10"/>
        <rFont val="Noto Sans CJK SC"/>
        <family val="2"/>
      </rPr>
      <t xml:space="preserve">極</t>
    </r>
  </si>
  <si>
    <t xml:space="preserve">上</t>
  </si>
  <si>
    <t xml:space="preserve">右M＋</t>
  </si>
  <si>
    <t xml:space="preserve">エーモンAV1.25（赤）</t>
  </si>
  <si>
    <t xml:space="preserve">1.25sq</t>
  </si>
  <si>
    <r>
      <rPr>
        <sz val="10"/>
        <rFont val="Arial"/>
        <family val="0"/>
        <charset val="1"/>
      </rPr>
      <t xml:space="preserve">16AWG</t>
    </r>
    <r>
      <rPr>
        <sz val="10"/>
        <rFont val="Noto Sans CJK SC"/>
        <family val="2"/>
      </rPr>
      <t xml:space="preserve">用</t>
    </r>
  </si>
  <si>
    <t xml:space="preserve">右モーターのツイストペア（赤＋／黒−）。両端にマーカー「R」</t>
  </si>
  <si>
    <t xml:space="preserve">下</t>
  </si>
  <si>
    <t xml:space="preserve">右M−</t>
  </si>
  <si>
    <t xml:space="preserve">エーモンAV1.25（黒）</t>
  </si>
  <si>
    <t xml:space="preserve">右モーターのツイストペアの相手線。マーカー「R」</t>
  </si>
  <si>
    <t xml:space="preserve">左M＋</t>
  </si>
  <si>
    <t xml:space="preserve">左モーターのツイストペア（赤＋／黒−）。両端にマーカー「L」</t>
  </si>
  <si>
    <t xml:space="preserve">左M−</t>
  </si>
  <si>
    <t xml:space="preserve">左モーターのツイストペアの相手線。マーカー「L」</t>
  </si>
  <si>
    <r>
      <rPr>
        <sz val="10"/>
        <rFont val="Arial"/>
        <family val="0"/>
        <charset val="1"/>
      </rPr>
      <t xml:space="preserve">14</t>
    </r>
    <r>
      <rPr>
        <sz val="10"/>
        <rFont val="Noto Sans CJK SC"/>
        <family val="2"/>
      </rPr>
      <t xml:space="preserve">極</t>
    </r>
  </si>
  <si>
    <t xml:space="preserve">5V</t>
  </si>
  <si>
    <t xml:space="preserve">SX(NE) 0.5sq×7P</t>
  </si>
  <si>
    <t xml:space="preserve">0.5sq</t>
  </si>
  <si>
    <r>
      <rPr>
        <sz val="10"/>
        <rFont val="Arial"/>
        <family val="0"/>
        <charset val="1"/>
      </rPr>
      <t xml:space="preserve">18</t>
    </r>
    <r>
      <rPr>
        <sz val="10"/>
        <rFont val="Noto Sans CJK SC"/>
        <family val="2"/>
      </rPr>
      <t xml:space="preserve">〜</t>
    </r>
    <r>
      <rPr>
        <sz val="10"/>
        <rFont val="Arial"/>
        <family val="0"/>
        <charset val="1"/>
      </rPr>
      <t xml:space="preserve">24AWG</t>
    </r>
    <r>
      <rPr>
        <sz val="10"/>
        <rFont val="Noto Sans CJK SC"/>
        <family val="2"/>
      </rPr>
      <t xml:space="preserve">用</t>
    </r>
  </si>
  <si>
    <t xml:space="preserve">ペア3。BEC（後部）からPixhawk等（前部）へ</t>
  </si>
  <si>
    <t xml:space="preserve">GND</t>
  </si>
  <si>
    <t xml:space="preserve">ペア3の相手線。5V電流の戻り</t>
  </si>
  <si>
    <r>
      <rPr>
        <sz val="10"/>
        <rFont val="Arial"/>
        <family val="0"/>
        <charset val="1"/>
      </rPr>
      <t xml:space="preserve">5V</t>
    </r>
    <r>
      <rPr>
        <sz val="10"/>
        <rFont val="Noto Sans CJK SC"/>
        <family val="2"/>
      </rPr>
      <t xml:space="preserve">（</t>
    </r>
    <r>
      <rPr>
        <sz val="10"/>
        <rFont val="Arial"/>
        <family val="0"/>
        <charset val="1"/>
      </rPr>
      <t xml:space="preserve">2</t>
    </r>
    <r>
      <rPr>
        <sz val="10"/>
        <rFont val="Noto Sans CJK SC"/>
        <family val="2"/>
      </rPr>
      <t xml:space="preserve">本目）</t>
    </r>
  </si>
  <si>
    <t xml:space="preserve">ペア7。電圧降下を半減するため列4の5Vと両端で並列接続</t>
  </si>
  <si>
    <r>
      <rPr>
        <sz val="10"/>
        <rFont val="Arial"/>
        <family val="0"/>
        <charset val="1"/>
      </rPr>
      <t xml:space="preserve">GND</t>
    </r>
    <r>
      <rPr>
        <sz val="10"/>
        <rFont val="Noto Sans CJK SC"/>
        <family val="2"/>
      </rPr>
      <t xml:space="preserve">（</t>
    </r>
    <r>
      <rPr>
        <sz val="10"/>
        <rFont val="Arial"/>
        <family val="0"/>
        <charset val="1"/>
      </rPr>
      <t xml:space="preserve">2</t>
    </r>
    <r>
      <rPr>
        <sz val="10"/>
        <rFont val="Noto Sans CJK SC"/>
        <family val="2"/>
      </rPr>
      <t xml:space="preserve">本目）</t>
    </r>
  </si>
  <si>
    <t xml:space="preserve">ペア7の相手線。列4のGNDと両端で並列接続</t>
  </si>
  <si>
    <t xml:space="preserve">CURRENT</t>
  </si>
  <si>
    <t xml:space="preserve">ペア6。0〜3.3Vアナログ。25Vの線から離して配置</t>
  </si>
  <si>
    <t xml:space="preserve">VOLTAGE</t>
  </si>
  <si>
    <t xml:space="preserve">ペア6の相手線。0〜3.3Vアナログ。基準は信号GND</t>
  </si>
  <si>
    <r>
      <rPr>
        <sz val="10"/>
        <rFont val="Arial"/>
        <family val="0"/>
        <charset val="1"/>
      </rPr>
      <t xml:space="preserve">RC</t>
    </r>
    <r>
      <rPr>
        <sz val="10"/>
        <rFont val="Noto Sans CJK SC"/>
        <family val="2"/>
      </rPr>
      <t xml:space="preserve">右</t>
    </r>
  </si>
  <si>
    <t xml:space="preserve">ペア1</t>
  </si>
  <si>
    <r>
      <rPr>
        <sz val="10"/>
        <rFont val="Arial"/>
        <family val="0"/>
        <charset val="1"/>
      </rPr>
      <t xml:space="preserve">RC</t>
    </r>
    <r>
      <rPr>
        <sz val="10"/>
        <rFont val="Noto Sans CJK SC"/>
        <family val="2"/>
      </rPr>
      <t xml:space="preserve">左</t>
    </r>
  </si>
  <si>
    <t xml:space="preserve">ペア2</t>
  </si>
  <si>
    <t xml:space="preserve">信号GND</t>
  </si>
  <si>
    <r>
      <rPr>
        <sz val="10"/>
        <rFont val="Arial"/>
        <family val="0"/>
        <charset val="1"/>
      </rPr>
      <t xml:space="preserve">18</t>
    </r>
    <r>
      <rPr>
        <sz val="10"/>
        <rFont val="Noto Sans CJK SC"/>
        <family val="2"/>
      </rPr>
      <t xml:space="preserve">〜</t>
    </r>
    <r>
      <rPr>
        <sz val="10"/>
        <rFont val="Arial"/>
        <family val="0"/>
        <charset val="1"/>
      </rPr>
      <t xml:space="preserve">24AWG</t>
    </r>
    <r>
      <rPr>
        <sz val="10"/>
        <rFont val="Noto Sans CJK SC"/>
        <family val="2"/>
      </rPr>
      <t xml:space="preserve">用（</t>
    </r>
    <r>
      <rPr>
        <sz val="10"/>
        <rFont val="Arial"/>
        <family val="0"/>
        <charset val="1"/>
      </rPr>
      <t xml:space="preserve">2</t>
    </r>
    <r>
      <rPr>
        <sz val="10"/>
        <rFont val="Noto Sans CJK SC"/>
        <family val="2"/>
      </rPr>
      <t xml:space="preserve">本圧着）</t>
    </r>
  </si>
  <si>
    <t xml:space="preserve">ペア1・2の相手線（2本）をダブル圧着。RC信号とアナログ信号の基準</t>
  </si>
  <si>
    <t xml:space="preserve">ドレイン</t>
  </si>
  <si>
    <t xml:space="preserve">ドレイン線のみ（芯線とは接続しない）。接地は③側のみ。①ユニット側はこのキャビティを空けたまま（未接続）</t>
  </si>
  <si>
    <t xml:space="preserve">SW COM</t>
  </si>
  <si>
    <t xml:space="preserve">ペア4。7S LiPo電圧、直列抵抗で電流制限</t>
  </si>
  <si>
    <t xml:space="preserve">SW NC</t>
  </si>
  <si>
    <t xml:space="preserve">ペア4の相手線。NC開で停止（外れ・断線も停止側）。受け側にフィルタ／デバウンス</t>
  </si>
  <si>
    <r>
      <rPr>
        <sz val="10"/>
        <rFont val="Arial"/>
        <family val="0"/>
        <charset val="1"/>
      </rPr>
      <t xml:space="preserve">LED</t>
    </r>
    <r>
      <rPr>
        <sz val="10"/>
        <rFont val="Noto Sans CJK SC"/>
        <family val="2"/>
      </rPr>
      <t xml:space="preserve">＋</t>
    </r>
  </si>
  <si>
    <t xml:space="preserve">ペア5。7S LiPo電圧、ポリスイッチで保護。最も端に配置</t>
  </si>
  <si>
    <t xml:space="preserve">LED−</t>
  </si>
  <si>
    <t xml:space="preserve">ペア5の相手線。電源基板GNDへ専用線で戻す</t>
  </si>
  <si>
    <t xml:space="preserve">配置ルール（4極・14極共通）：1列＝1組（ペア）、上段＝行き（＋・信号）、下段＝戻り（−・GND）。③・②・①の3か所すべてをこの配置で作る</t>
  </si>
  <si>
    <t xml:space="preserve">性別（4極・14極とも）：③後部ユニット＝メス（5557）、②ハーネス後部側＝オス（5559）、②ハーネス前部側＝メス（5557）、①前部ユニット＝オス（5559）</t>
  </si>
  <si>
    <r>
      <rPr>
        <sz val="10"/>
        <rFont val="Arial"/>
        <family val="0"/>
        <charset val="1"/>
      </rPr>
      <t xml:space="preserve">4</t>
    </r>
    <r>
      <rPr>
        <sz val="10"/>
        <rFont val="Noto Sans CJK SC"/>
        <family val="2"/>
      </rPr>
      <t xml:space="preserve">極ハーネス（モーター）と</t>
    </r>
    <r>
      <rPr>
        <sz val="10"/>
        <rFont val="Arial"/>
        <family val="0"/>
        <charset val="1"/>
      </rPr>
      <t xml:space="preserve">14</t>
    </r>
    <r>
      <rPr>
        <sz val="10"/>
        <rFont val="Noto Sans CJK SC"/>
        <family val="2"/>
      </rPr>
      <t xml:space="preserve">極ハーネス（信号）は別々に配線し、数</t>
    </r>
    <r>
      <rPr>
        <sz val="10"/>
        <rFont val="Arial"/>
        <family val="0"/>
        <charset val="1"/>
      </rPr>
      <t xml:space="preserve">cm</t>
    </r>
    <r>
      <rPr>
        <sz val="10"/>
        <rFont val="Noto Sans CJK SC"/>
        <family val="2"/>
      </rPr>
      <t xml:space="preserve">離す（交差は直角に）。両端に「</t>
    </r>
    <r>
      <rPr>
        <sz val="10"/>
        <rFont val="Arial"/>
        <family val="0"/>
        <charset val="1"/>
      </rPr>
      <t xml:space="preserve">MOTOR</t>
    </r>
    <r>
      <rPr>
        <sz val="10"/>
        <rFont val="Noto Sans CJK SC"/>
        <family val="2"/>
      </rPr>
      <t xml:space="preserve">」「</t>
    </r>
    <r>
      <rPr>
        <sz val="10"/>
        <rFont val="Arial"/>
        <family val="0"/>
        <charset val="1"/>
      </rPr>
      <t xml:space="preserve">SIGNAL</t>
    </r>
    <r>
      <rPr>
        <sz val="10"/>
        <rFont val="Noto Sans CJK SC"/>
        <family val="2"/>
      </rPr>
      <t xml:space="preserve">」のラベルを付け、挿し忘れを防ぐ（大きさが違うため差し違えは起きない）</t>
    </r>
  </si>
  <si>
    <t xml:space="preserve">モーター電力と信号はハーネスごと分離されるため、20極構成の空き列（緩衝）は不要</t>
  </si>
  <si>
    <r>
      <rPr>
        <sz val="10"/>
        <rFont val="Arial"/>
        <family val="0"/>
        <charset val="1"/>
      </rPr>
      <t xml:space="preserve">5V</t>
    </r>
    <r>
      <rPr>
        <sz val="10"/>
        <rFont val="Noto Sans CJK SC"/>
        <family val="2"/>
      </rPr>
      <t xml:space="preserve">・</t>
    </r>
    <r>
      <rPr>
        <sz val="10"/>
        <rFont val="Arial"/>
        <family val="0"/>
        <charset val="1"/>
      </rPr>
      <t xml:space="preserve">GND</t>
    </r>
    <r>
      <rPr>
        <sz val="10"/>
        <rFont val="Noto Sans CJK SC"/>
        <family val="2"/>
      </rPr>
      <t xml:space="preserve">は</t>
    </r>
    <r>
      <rPr>
        <sz val="10"/>
        <rFont val="Arial"/>
        <family val="0"/>
        <charset val="1"/>
      </rPr>
      <t xml:space="preserve">2</t>
    </r>
    <r>
      <rPr>
        <sz val="10"/>
        <rFont val="Noto Sans CJK SC"/>
        <family val="2"/>
      </rPr>
      <t xml:space="preserve">本ずつ使い、①③の機器側（</t>
    </r>
    <r>
      <rPr>
        <sz val="10"/>
        <rFont val="Arial"/>
        <family val="0"/>
        <charset val="1"/>
      </rPr>
      <t xml:space="preserve">PM02</t>
    </r>
    <r>
      <rPr>
        <sz val="10"/>
        <rFont val="Noto Sans CJK SC"/>
        <family val="2"/>
      </rPr>
      <t xml:space="preserve">／制御基板）でそれぞれ合流させる</t>
    </r>
  </si>
  <si>
    <t xml:space="preserve">色：オレンジ＝モーター電力、灰＝電源・GND、紫＝アナログ（0〜3.3V）、緑＝RC信号、ピンク＝7S LiPo電圧（電流制限あり）</t>
  </si>
  <si>
    <t xml:space="preserve">MDDS30側（③）：ユニット側のAWG26単線をそのままDupont 1×3（中央5Vは空き）に圧着。RC右→RC1のSIG、RC左→RC2のSIG。信号GNDの線とドレインの線はMDDS30の手前で1点に合流させ（はんだ付け＋熱収縮チューブ）、AWG26の2本に分岐してRC1・RC2のGNDへ。分岐後は各RCの信号線とGND線を軽くより合わせる</t>
  </si>
  <si>
    <r>
      <rPr>
        <b val="true"/>
        <sz val="14"/>
        <rFont val="Arial"/>
        <family val="0"/>
        <charset val="1"/>
      </rPr>
      <t xml:space="preserve">SX(NE) 0.5sq×7P </t>
    </r>
    <r>
      <rPr>
        <b val="true"/>
        <sz val="14"/>
        <rFont val="Noto Sans CJK SC"/>
        <family val="2"/>
      </rPr>
      <t xml:space="preserve">芯線割り当て（</t>
    </r>
    <r>
      <rPr>
        <b val="true"/>
        <sz val="14"/>
        <rFont val="Arial"/>
        <family val="0"/>
        <charset val="1"/>
      </rPr>
      <t xml:space="preserve">7</t>
    </r>
    <r>
      <rPr>
        <b val="true"/>
        <sz val="14"/>
        <rFont val="Noto Sans CJK SC"/>
        <family val="2"/>
      </rPr>
      <t xml:space="preserve">ペア・</t>
    </r>
    <r>
      <rPr>
        <b val="true"/>
        <sz val="14"/>
        <rFont val="Arial"/>
        <family val="0"/>
        <charset val="1"/>
      </rPr>
      <t xml:space="preserve">14</t>
    </r>
    <r>
      <rPr>
        <b val="true"/>
        <sz val="14"/>
        <rFont val="Noto Sans CJK SC"/>
        <family val="2"/>
      </rPr>
      <t xml:space="preserve">本、すべて使用・予備なし）</t>
    </r>
  </si>
  <si>
    <t xml:space="preserve">ペア</t>
  </si>
  <si>
    <t xml:space="preserve">芯線の色（現物で記入）</t>
  </si>
  <si>
    <t xml:space="preserve">芯線1の信号</t>
  </si>
  <si>
    <t xml:space="preserve">芯線1のピン（列・段）</t>
  </si>
  <si>
    <t xml:space="preserve">芯線2の信号</t>
  </si>
  <si>
    <t xml:space="preserve">芯線2のピン</t>
  </si>
  <si>
    <t xml:space="preserve">列4・上</t>
  </si>
  <si>
    <t xml:space="preserve">列5・上</t>
  </si>
  <si>
    <t xml:space="preserve">RC右の帰り線。ペア2の相手線と2本を1個の端子にダブル圧着。③側はユニットのAWG26線でドレインと合流後、RC1のGNDへ</t>
  </si>
  <si>
    <t xml:space="preserve">列4・下</t>
  </si>
  <si>
    <t xml:space="preserve">RC左の帰り線。ペア1の相手線とダブル圧着。③側はユニットのAWG26線でドレインと合流後、RC2のGNDへ</t>
  </si>
  <si>
    <t xml:space="preserve">列1・上</t>
  </si>
  <si>
    <t xml:space="preserve">列1・下</t>
  </si>
  <si>
    <t xml:space="preserve">5V電流の行きと戻りを1ペアに</t>
  </si>
  <si>
    <t xml:space="preserve">列6・上</t>
  </si>
  <si>
    <t xml:space="preserve">列6・下</t>
  </si>
  <si>
    <t xml:space="preserve">非常停止スイッチ。7S LiPo電圧（直列抵抗で電流制限）</t>
  </si>
  <si>
    <t xml:space="preserve">列7・上</t>
  </si>
  <si>
    <t xml:space="preserve">列7・下</t>
  </si>
  <si>
    <t xml:space="preserve">スイッチのLED。7S LiPo電圧（ポリスイッチで保護）</t>
  </si>
  <si>
    <t xml:space="preserve">列3・上</t>
  </si>
  <si>
    <t xml:space="preserve">列3・下</t>
  </si>
  <si>
    <t xml:space="preserve">0〜3.3Vアナログ。基準は信号GND（ペア1・2の相手線）</t>
  </si>
  <si>
    <t xml:space="preserve">列2・上</t>
  </si>
  <si>
    <t xml:space="preserve">列2・下</t>
  </si>
  <si>
    <t xml:space="preserve">ペア3と並列。両端の機器側で合流</t>
  </si>
  <si>
    <t xml:space="preserve">ドレイン線（裸線）：どの芯線ともつながず、単独で1個の端子に圧着して列5・下へ。外被を剥いだ所から端子の手前まで熱収縮チューブ（φ1.5mm程度）で絶縁する</t>
  </si>
  <si>
    <t xml:space="preserve">ドレインの接地はMDDS30側（③）のみ。②ハーネスでは両端ともドレイン線をドレインピンに圧着し、③ユニット側でAWG26線を出して信号GNDと合流させる。①ユニット側はドレインのキャビティを空けたまま（未接続）。シールド（編組）は両端で根元から切りそろえ、熱収縮チューブで覆う</t>
  </si>
  <si>
    <t xml:space="preserve">14極コネクタの内訳：芯線14本で13ピン（信号GNDは2本で1ピン）＋ドレイン1ピン＝14ピン。空きピン・予備芯線はない</t>
  </si>
  <si>
    <t xml:space="preserve">芯線の色はSX(NE)の現物で確認し、上の表の「芯線の色」列に記入してから圧着する</t>
  </si>
  <si>
    <t xml:space="preserve">ユニット側（①前部・③後部）の配線（コネクタから各機器まで、各約10cm）</t>
  </si>
  <si>
    <t xml:space="preserve">本数</t>
  </si>
  <si>
    <t xml:space="preserve">接続先・備考</t>
  </si>
  <si>
    <t xml:space="preserve">右M＋・右M−・左M＋・左M−</t>
  </si>
  <si>
    <r>
      <rPr>
        <sz val="10"/>
        <rFont val="Arial"/>
        <family val="0"/>
        <charset val="1"/>
      </rPr>
      <t xml:space="preserve">AWG16</t>
    </r>
    <r>
      <rPr>
        <sz val="10"/>
        <rFont val="Noto Sans CJK SC"/>
        <family val="2"/>
      </rPr>
      <t xml:space="preserve">（エーモン</t>
    </r>
    <r>
      <rPr>
        <sz val="10"/>
        <rFont val="Arial"/>
        <family val="0"/>
        <charset val="1"/>
      </rPr>
      <t xml:space="preserve">AV1.25 </t>
    </r>
    <r>
      <rPr>
        <sz val="10"/>
        <rFont val="Noto Sans CJK SC"/>
        <family val="2"/>
      </rPr>
      <t xml:space="preserve">赤・黒）</t>
    </r>
  </si>
  <si>
    <r>
      <rPr>
        <sz val="10"/>
        <rFont val="Arial"/>
        <family val="0"/>
        <charset val="1"/>
      </rPr>
      <t xml:space="preserve">5556T3L</t>
    </r>
    <r>
      <rPr>
        <sz val="10"/>
        <rFont val="Noto Sans CJK SC"/>
        <family val="2"/>
      </rPr>
      <t xml:space="preserve">／</t>
    </r>
    <r>
      <rPr>
        <sz val="10"/>
        <rFont val="Arial"/>
        <family val="0"/>
        <charset val="1"/>
      </rPr>
      <t xml:space="preserve">5558T3L</t>
    </r>
  </si>
  <si>
    <t xml:space="preserve">③：MDDS30のモーター出力、①：左右モーター。赤＋／黒−をより合わせ、マーカーで「R」「L」</t>
  </si>
  <si>
    <r>
      <rPr>
        <sz val="10"/>
        <rFont val="Arial"/>
        <family val="0"/>
        <charset val="1"/>
      </rPr>
      <t xml:space="preserve">5V×2</t>
    </r>
    <r>
      <rPr>
        <sz val="10"/>
        <rFont val="Noto Sans CJK SC"/>
        <family val="2"/>
      </rPr>
      <t xml:space="preserve">・</t>
    </r>
    <r>
      <rPr>
        <sz val="10"/>
        <rFont val="Arial"/>
        <family val="0"/>
        <charset val="1"/>
      </rPr>
      <t xml:space="preserve">GND×2</t>
    </r>
    <r>
      <rPr>
        <sz val="10"/>
        <rFont val="Noto Sans CJK SC"/>
        <family val="2"/>
      </rPr>
      <t xml:space="preserve">・</t>
    </r>
    <r>
      <rPr>
        <sz val="10"/>
        <rFont val="Arial"/>
        <family val="0"/>
        <charset val="1"/>
      </rPr>
      <t xml:space="preserve">CURRENT</t>
    </r>
    <r>
      <rPr>
        <sz val="10"/>
        <rFont val="Noto Sans CJK SC"/>
        <family val="2"/>
      </rPr>
      <t xml:space="preserve">・</t>
    </r>
    <r>
      <rPr>
        <sz val="10"/>
        <rFont val="Arial"/>
        <family val="0"/>
        <charset val="1"/>
      </rPr>
      <t xml:space="preserve">VOLTAGE</t>
    </r>
  </si>
  <si>
    <r>
      <rPr>
        <sz val="10"/>
        <rFont val="Arial"/>
        <family val="0"/>
        <charset val="1"/>
      </rPr>
      <t xml:space="preserve">AWG26</t>
    </r>
    <r>
      <rPr>
        <sz val="10"/>
        <rFont val="Noto Sans CJK SC"/>
        <family val="2"/>
      </rPr>
      <t xml:space="preserve">単線（住友電工 </t>
    </r>
    <r>
      <rPr>
        <sz val="10"/>
        <rFont val="Arial"/>
        <family val="0"/>
        <charset val="1"/>
      </rPr>
      <t xml:space="preserve">UL1571</t>
    </r>
    <r>
      <rPr>
        <sz val="10"/>
        <rFont val="Noto Sans CJK SC"/>
        <family val="2"/>
      </rPr>
      <t xml:space="preserve">）</t>
    </r>
  </si>
  <si>
    <r>
      <rPr>
        <sz val="10"/>
        <rFont val="Arial"/>
        <family val="0"/>
        <charset val="1"/>
      </rPr>
      <t xml:space="preserve">5556T2L</t>
    </r>
    <r>
      <rPr>
        <sz val="10"/>
        <rFont val="Noto Sans CJK SC"/>
        <family val="2"/>
      </rPr>
      <t xml:space="preserve">／</t>
    </r>
    <r>
      <rPr>
        <sz val="10"/>
        <rFont val="Arial"/>
        <family val="0"/>
        <charset val="1"/>
      </rPr>
      <t xml:space="preserve">5558T2L</t>
    </r>
  </si>
  <si>
    <t xml:space="preserve">③：PM02 V3、①：Pixhawk 6C Mini POWER1。機器側はJST GH 6ピン（GHR-06V-S＋SSHL-002T-P0.2）を自分で圧着。GHの並び：1・2＝5V、3＝CURRENT、4＝VOLTAGE、5・6＝GND。前部5Vの見込み：1Aで約5.15V、3Aで約4.98V</t>
  </si>
  <si>
    <r>
      <rPr>
        <sz val="10"/>
        <rFont val="Arial"/>
        <family val="0"/>
        <charset val="1"/>
      </rPr>
      <t xml:space="preserve">RC</t>
    </r>
    <r>
      <rPr>
        <sz val="10"/>
        <rFont val="Noto Sans CJK SC"/>
        <family val="2"/>
      </rPr>
      <t xml:space="preserve">右・</t>
    </r>
    <r>
      <rPr>
        <sz val="10"/>
        <rFont val="Arial"/>
        <family val="0"/>
        <charset val="1"/>
      </rPr>
      <t xml:space="preserve">RC</t>
    </r>
    <r>
      <rPr>
        <sz val="10"/>
        <rFont val="Noto Sans CJK SC"/>
        <family val="2"/>
      </rPr>
      <t xml:space="preserve">左・信号</t>
    </r>
    <r>
      <rPr>
        <sz val="10"/>
        <rFont val="Arial"/>
        <family val="0"/>
        <charset val="1"/>
      </rPr>
      <t xml:space="preserve">GND</t>
    </r>
  </si>
  <si>
    <t xml:space="preserve">③：MDDS30のRC1・RC2（Dupont 1×3）、①：PWM出力側。信号線とGND線を軽くより合わせる</t>
  </si>
  <si>
    <r>
      <rPr>
        <sz val="10"/>
        <rFont val="Arial"/>
        <family val="0"/>
        <charset val="1"/>
      </rPr>
      <t xml:space="preserve">5556T2L</t>
    </r>
    <r>
      <rPr>
        <sz val="10"/>
        <rFont val="Noto Sans CJK SC"/>
        <family val="2"/>
      </rPr>
      <t xml:space="preserve">（③のみ）</t>
    </r>
  </si>
  <si>
    <t xml:space="preserve">③のみ1</t>
  </si>
  <si>
    <t xml:space="preserve">③：MDDS30の手前で信号GNDと合流。①：キャビティを空けたまま（未接続）</t>
  </si>
  <si>
    <r>
      <rPr>
        <sz val="10"/>
        <rFont val="Arial"/>
        <family val="0"/>
        <charset val="1"/>
      </rPr>
      <t xml:space="preserve">SW COM</t>
    </r>
    <r>
      <rPr>
        <sz val="10"/>
        <rFont val="Noto Sans CJK SC"/>
        <family val="2"/>
      </rPr>
      <t xml:space="preserve">・</t>
    </r>
    <r>
      <rPr>
        <sz val="10"/>
        <rFont val="Arial"/>
        <family val="0"/>
        <charset val="1"/>
      </rPr>
      <t xml:space="preserve">SW NC</t>
    </r>
    <r>
      <rPr>
        <sz val="10"/>
        <rFont val="Noto Sans CJK SC"/>
        <family val="2"/>
      </rPr>
      <t xml:space="preserve">・</t>
    </r>
    <r>
      <rPr>
        <sz val="10"/>
        <rFont val="Arial"/>
        <family val="0"/>
        <charset val="1"/>
      </rPr>
      <t xml:space="preserve">LED</t>
    </r>
    <r>
      <rPr>
        <sz val="10"/>
        <rFont val="Noto Sans CJK SC"/>
        <family val="2"/>
      </rPr>
      <t xml:space="preserve">＋・</t>
    </r>
    <r>
      <rPr>
        <sz val="10"/>
        <rFont val="Arial"/>
        <family val="0"/>
        <charset val="1"/>
      </rPr>
      <t xml:space="preserve">LED−</t>
    </r>
  </si>
  <si>
    <r>
      <rPr>
        <sz val="10"/>
        <rFont val="Arial"/>
        <family val="0"/>
        <charset val="1"/>
      </rPr>
      <t xml:space="preserve">AWG24</t>
    </r>
    <r>
      <rPr>
        <sz val="10"/>
        <rFont val="Noto Sans CJK SC"/>
        <family val="2"/>
      </rPr>
      <t xml:space="preserve">単線（</t>
    </r>
    <r>
      <rPr>
        <sz val="10"/>
        <rFont val="Arial"/>
        <family val="0"/>
        <charset val="1"/>
      </rPr>
      <t xml:space="preserve">UL3265</t>
    </r>
    <r>
      <rPr>
        <sz val="10"/>
        <rFont val="Noto Sans CJK SC"/>
        <family val="2"/>
      </rPr>
      <t xml:space="preserve">、</t>
    </r>
    <r>
      <rPr>
        <sz val="10"/>
        <rFont val="Arial"/>
        <family val="0"/>
        <charset val="1"/>
      </rPr>
      <t xml:space="preserve">150V</t>
    </r>
    <r>
      <rPr>
        <sz val="10"/>
        <rFont val="Noto Sans CJK SC"/>
        <family val="2"/>
      </rPr>
      <t xml:space="preserve">）</t>
    </r>
  </si>
  <si>
    <t xml:space="preserve">7S LiPo電圧（最大29.4V）のため150V定格のAWG24を使う（AWG26のUL1571は30V定格で余裕がない）。COM＋NC、LED＋＋LED−をそれぞれ軽くより合わせる</t>
  </si>
  <si>
    <t xml:space="preserve">端子：②ハーネス側（SX(NE) 0.5sq）は5556TL／5558TL、①③ユニット側（AWG26・AWG24）は5556T2L／5558T2L（被覆外径0.90〜1.80mm：AWG26 0.98mm、AWG24 1.21mmとも適合）。機器側のGH端子SSHL-002T-P0.2は被覆外径0.8〜1.0mmで、AWG26（0.98mm）は上限付近</t>
  </si>
  <si>
    <t xml:space="preserve">コネクタの後ろ数cmは熱収縮チューブかスパイラルチューブでまとめて結束バンドで固定し、端子の根元に曲げがかからないようにする（AWG26は振動で根元から切れやすい）</t>
  </si>
  <si>
    <t xml:space="preserve">ハーネス部品 購入リスト：計算条件</t>
  </si>
  <si>
    <t xml:space="preserve">黄色のセル（青字）が入力欄です。値を変えると「購入リスト」の数量が自動で再計算されます。</t>
  </si>
  <si>
    <t xml:space="preserve">項目</t>
  </si>
  <si>
    <t xml:space="preserve">値</t>
  </si>
  <si>
    <t xml:space="preserve">根拠・備考</t>
  </si>
  <si>
    <t xml:space="preserve">中継コネクタ位置の数（各サイズとも）</t>
  </si>
  <si>
    <t xml:space="preserve">③-②間、②-①間の2か所。4極・14極それぞれ同数</t>
  </si>
  <si>
    <r>
      <rPr>
        <sz val="11"/>
        <rFont val="Arial"/>
        <family val="0"/>
        <charset val="1"/>
      </rPr>
      <t xml:space="preserve">1</t>
    </r>
    <r>
      <rPr>
        <sz val="11"/>
        <rFont val="Noto Sans CJK SC"/>
        <family val="2"/>
      </rPr>
      <t xml:space="preserve">コネクタあたりのモーター用ピン数（</t>
    </r>
    <r>
      <rPr>
        <sz val="11"/>
        <rFont val="Arial"/>
        <family val="0"/>
        <charset val="1"/>
      </rPr>
      <t xml:space="preserve">AWG16</t>
    </r>
    <r>
      <rPr>
        <sz val="11"/>
        <rFont val="Noto Sans CJK SC"/>
        <family val="2"/>
      </rPr>
      <t xml:space="preserve">）</t>
    </r>
  </si>
  <si>
    <t xml:space="preserve">右M＋、右M−、左M＋、左M−</t>
  </si>
  <si>
    <r>
      <rPr>
        <sz val="11"/>
        <rFont val="Arial"/>
        <family val="0"/>
        <charset val="1"/>
      </rPr>
      <t xml:space="preserve">14</t>
    </r>
    <r>
      <rPr>
        <sz val="11"/>
        <rFont val="Noto Sans CJK SC"/>
        <family val="2"/>
      </rPr>
      <t xml:space="preserve">極コネクタ</t>
    </r>
    <r>
      <rPr>
        <sz val="11"/>
        <rFont val="Arial"/>
        <family val="0"/>
        <charset val="1"/>
      </rPr>
      <t xml:space="preserve">1</t>
    </r>
    <r>
      <rPr>
        <sz val="11"/>
        <rFont val="Noto Sans CJK SC"/>
        <family val="2"/>
      </rPr>
      <t xml:space="preserve">個あたりのピン数</t>
    </r>
  </si>
  <si>
    <r>
      <rPr>
        <sz val="10"/>
        <rFont val="Arial"/>
        <family val="0"/>
        <charset val="1"/>
      </rPr>
      <t xml:space="preserve">5V×2</t>
    </r>
    <r>
      <rPr>
        <sz val="10"/>
        <rFont val="Noto Sans CJK SC"/>
        <family val="2"/>
      </rPr>
      <t xml:space="preserve">、</t>
    </r>
    <r>
      <rPr>
        <sz val="10"/>
        <rFont val="Arial"/>
        <family val="0"/>
        <charset val="1"/>
      </rPr>
      <t xml:space="preserve">GND×2</t>
    </r>
    <r>
      <rPr>
        <sz val="10"/>
        <rFont val="Noto Sans CJK SC"/>
        <family val="2"/>
      </rPr>
      <t xml:space="preserve">、</t>
    </r>
    <r>
      <rPr>
        <sz val="10"/>
        <rFont val="Arial"/>
        <family val="0"/>
        <charset val="1"/>
      </rPr>
      <t xml:space="preserve">CURRENT</t>
    </r>
    <r>
      <rPr>
        <sz val="10"/>
        <rFont val="Noto Sans CJK SC"/>
        <family val="2"/>
      </rPr>
      <t xml:space="preserve">、</t>
    </r>
    <r>
      <rPr>
        <sz val="10"/>
        <rFont val="Arial"/>
        <family val="0"/>
        <charset val="1"/>
      </rPr>
      <t xml:space="preserve">VOLTAGE</t>
    </r>
    <r>
      <rPr>
        <sz val="10"/>
        <rFont val="Noto Sans CJK SC"/>
        <family val="2"/>
      </rPr>
      <t xml:space="preserve">、</t>
    </r>
    <r>
      <rPr>
        <sz val="10"/>
        <rFont val="Arial"/>
        <family val="0"/>
        <charset val="1"/>
      </rPr>
      <t xml:space="preserve">RC</t>
    </r>
    <r>
      <rPr>
        <sz val="10"/>
        <rFont val="Noto Sans CJK SC"/>
        <family val="2"/>
      </rPr>
      <t xml:space="preserve">右、</t>
    </r>
    <r>
      <rPr>
        <sz val="10"/>
        <rFont val="Arial"/>
        <family val="0"/>
        <charset val="1"/>
      </rPr>
      <t xml:space="preserve">RC</t>
    </r>
    <r>
      <rPr>
        <sz val="10"/>
        <rFont val="Noto Sans CJK SC"/>
        <family val="2"/>
      </rPr>
      <t xml:space="preserve">左、信号</t>
    </r>
    <r>
      <rPr>
        <sz val="10"/>
        <rFont val="Arial"/>
        <family val="0"/>
        <charset val="1"/>
      </rPr>
      <t xml:space="preserve">GND</t>
    </r>
    <r>
      <rPr>
        <sz val="10"/>
        <rFont val="Noto Sans CJK SC"/>
        <family val="2"/>
      </rPr>
      <t xml:space="preserve">、ドレイン、</t>
    </r>
    <r>
      <rPr>
        <sz val="10"/>
        <rFont val="Arial"/>
        <family val="0"/>
        <charset val="1"/>
      </rPr>
      <t xml:space="preserve">SW COM</t>
    </r>
    <r>
      <rPr>
        <sz val="10"/>
        <rFont val="Noto Sans CJK SC"/>
        <family val="2"/>
      </rPr>
      <t xml:space="preserve">、</t>
    </r>
    <r>
      <rPr>
        <sz val="10"/>
        <rFont val="Arial"/>
        <family val="0"/>
        <charset val="1"/>
      </rPr>
      <t xml:space="preserve">SW NC</t>
    </r>
    <r>
      <rPr>
        <sz val="10"/>
        <rFont val="Noto Sans CJK SC"/>
        <family val="2"/>
      </rPr>
      <t xml:space="preserve">、</t>
    </r>
    <r>
      <rPr>
        <sz val="10"/>
        <rFont val="Arial"/>
        <family val="0"/>
        <charset val="1"/>
      </rPr>
      <t xml:space="preserve">LED</t>
    </r>
    <r>
      <rPr>
        <sz val="10"/>
        <rFont val="Noto Sans CJK SC"/>
        <family val="2"/>
      </rPr>
      <t xml:space="preserve">＋、</t>
    </r>
    <r>
      <rPr>
        <sz val="10"/>
        <rFont val="Arial"/>
        <family val="0"/>
        <charset val="1"/>
      </rPr>
      <t xml:space="preserve">LED−</t>
    </r>
    <r>
      <rPr>
        <sz val="10"/>
        <rFont val="Noto Sans CJK SC"/>
        <family val="2"/>
      </rPr>
      <t xml:space="preserve">。②ハーネス側は</t>
    </r>
    <r>
      <rPr>
        <sz val="10"/>
        <rFont val="Arial"/>
        <family val="0"/>
        <charset val="1"/>
      </rPr>
      <t xml:space="preserve">TL</t>
    </r>
    <r>
      <rPr>
        <sz val="10"/>
        <rFont val="Noto Sans CJK SC"/>
        <family val="2"/>
      </rPr>
      <t xml:space="preserve">端子（</t>
    </r>
    <r>
      <rPr>
        <sz val="10"/>
        <rFont val="Arial"/>
        <family val="0"/>
        <charset val="1"/>
      </rPr>
      <t xml:space="preserve">SX(NE)</t>
    </r>
    <r>
      <rPr>
        <sz val="10"/>
        <rFont val="Noto Sans CJK SC"/>
        <family val="2"/>
      </rPr>
      <t xml:space="preserve">）、①③ユニット側は</t>
    </r>
    <r>
      <rPr>
        <sz val="10"/>
        <rFont val="Arial"/>
        <family val="0"/>
        <charset val="1"/>
      </rPr>
      <t xml:space="preserve">T2L</t>
    </r>
    <r>
      <rPr>
        <sz val="10"/>
        <rFont val="Noto Sans CJK SC"/>
        <family val="2"/>
      </rPr>
      <t xml:space="preserve">端子（</t>
    </r>
    <r>
      <rPr>
        <sz val="10"/>
        <rFont val="Arial"/>
        <family val="0"/>
        <charset val="1"/>
      </rPr>
      <t xml:space="preserve">AWG26</t>
    </r>
    <r>
      <rPr>
        <sz val="10"/>
        <rFont val="Noto Sans CJK SC"/>
        <family val="2"/>
      </rPr>
      <t xml:space="preserve">）</t>
    </r>
  </si>
  <si>
    <t xml:space="preserve">端子の購入倍率（練習・試験・予備分）</t>
  </si>
  <si>
    <t xml:space="preserve">倍</t>
  </si>
  <si>
    <t xml:space="preserve">圧着の練習と引っ張り試験用の余裕</t>
  </si>
  <si>
    <t xml:space="preserve">②ハーネスの長さ</t>
  </si>
  <si>
    <t xml:space="preserve">m</t>
  </si>
  <si>
    <t xml:space="preserve">ユーザー提示の50〜60cmの上限</t>
  </si>
  <si>
    <t xml:space="preserve">①前部ユニットの引き出し長さ</t>
  </si>
  <si>
    <t xml:space="preserve">ユーザー提示の約10cm</t>
  </si>
  <si>
    <t xml:space="preserve">③後部ユニットの引き出し長さ</t>
  </si>
  <si>
    <t xml:space="preserve">電線の購入倍率（試作・作り直し分）</t>
  </si>
  <si>
    <t xml:space="preserve">作り直しに備えた余裕</t>
  </si>
  <si>
    <t xml:space="preserve">モーター線の本数</t>
  </si>
  <si>
    <t xml:space="preserve">左右×＋/−</t>
  </si>
  <si>
    <t xml:space="preserve">編組スリーブの長さ倍率</t>
  </si>
  <si>
    <t xml:space="preserve">端部処理・取り回し分</t>
  </si>
  <si>
    <t xml:space="preserve">ケーブルクランプの数</t>
  </si>
  <si>
    <t xml:space="preserve">仮定値。各コネクタの前後＋途中2か所</t>
  </si>
  <si>
    <r>
      <rPr>
        <b val="true"/>
        <sz val="11"/>
        <rFont val="Arial"/>
        <family val="0"/>
        <charset val="1"/>
      </rPr>
      <t xml:space="preserve">1</t>
    </r>
    <r>
      <rPr>
        <b val="true"/>
        <sz val="11"/>
        <rFont val="Noto Sans CJK SC"/>
        <family val="2"/>
      </rPr>
      <t xml:space="preserve">区間あたりの電線長（①＋②＋③）</t>
    </r>
  </si>
</sst>
</file>

<file path=xl/styles.xml><?xml version="1.0" encoding="utf-8"?>
<styleSheet xmlns="http://schemas.openxmlformats.org/spreadsheetml/2006/main">
  <numFmts count="3">
    <numFmt numFmtId="164" formatCode="General"/>
    <numFmt numFmtId="165" formatCode="General"/>
    <numFmt numFmtId="166" formatCode="0.0"/>
  </numFmts>
  <fonts count="18">
    <font>
      <sz val="11"/>
      <color theme="1"/>
      <name val="Calibri"/>
      <family val="2"/>
      <charset val="1"/>
    </font>
    <font>
      <sz val="10"/>
      <name val="Arial"/>
      <family val="0"/>
    </font>
    <font>
      <sz val="10"/>
      <name val="Arial"/>
      <family val="0"/>
    </font>
    <font>
      <sz val="10"/>
      <name val="Arial"/>
      <family val="0"/>
    </font>
    <font>
      <b val="true"/>
      <sz val="14"/>
      <name val="Noto Sans CJK SC"/>
      <family val="2"/>
      <charset val="1"/>
    </font>
    <font>
      <sz val="10"/>
      <name val="Noto Sans CJK SC"/>
      <family val="2"/>
      <charset val="1"/>
    </font>
    <font>
      <b val="true"/>
      <sz val="11"/>
      <name val="Noto Sans CJK SC"/>
      <family val="2"/>
      <charset val="1"/>
    </font>
    <font>
      <sz val="10"/>
      <name val="Arial"/>
      <family val="0"/>
      <charset val="1"/>
    </font>
    <font>
      <sz val="10"/>
      <name val="Noto Sans CJK SC"/>
      <family val="2"/>
    </font>
    <font>
      <b val="true"/>
      <sz val="11"/>
      <name val="Arial"/>
      <family val="0"/>
      <charset val="1"/>
    </font>
    <font>
      <b val="true"/>
      <sz val="10"/>
      <name val="Arial"/>
      <family val="0"/>
      <charset val="1"/>
    </font>
    <font>
      <sz val="11"/>
      <name val="Noto Sans CJK SC"/>
      <family val="2"/>
      <charset val="1"/>
    </font>
    <font>
      <b val="true"/>
      <sz val="14"/>
      <name val="Arial"/>
      <family val="0"/>
      <charset val="1"/>
    </font>
    <font>
      <b val="true"/>
      <sz val="14"/>
      <name val="Noto Sans CJK SC"/>
      <family val="2"/>
    </font>
    <font>
      <sz val="11"/>
      <color rgb="FF0000FF"/>
      <name val="Arial"/>
      <family val="0"/>
      <charset val="1"/>
    </font>
    <font>
      <sz val="11"/>
      <name val="Arial"/>
      <family val="0"/>
      <charset val="1"/>
    </font>
    <font>
      <sz val="11"/>
      <name val="Noto Sans CJK SC"/>
      <family val="2"/>
    </font>
    <font>
      <b val="true"/>
      <sz val="11"/>
      <name val="Noto Sans CJK SC"/>
      <family val="2"/>
    </font>
  </fonts>
  <fills count="9">
    <fill>
      <patternFill patternType="none"/>
    </fill>
    <fill>
      <patternFill patternType="gray125"/>
    </fill>
    <fill>
      <patternFill patternType="solid">
        <fgColor rgb="FFD9E1F2"/>
        <bgColor rgb="FFE2D9F3"/>
      </patternFill>
    </fill>
    <fill>
      <patternFill patternType="solid">
        <fgColor rgb="FFFFFF00"/>
        <bgColor rgb="FFFFFF00"/>
      </patternFill>
    </fill>
    <fill>
      <patternFill patternType="solid">
        <fgColor rgb="FFFBE2D5"/>
        <bgColor rgb="FFFCE4EC"/>
      </patternFill>
    </fill>
    <fill>
      <patternFill patternType="solid">
        <fgColor rgb="FFEDEDED"/>
        <bgColor rgb="FFFCE4EC"/>
      </patternFill>
    </fill>
    <fill>
      <patternFill patternType="solid">
        <fgColor rgb="FFE2D9F3"/>
        <bgColor rgb="FFD9E1F2"/>
      </patternFill>
    </fill>
    <fill>
      <patternFill patternType="solid">
        <fgColor rgb="FFD9F2EC"/>
        <bgColor rgb="FFEDEDED"/>
      </patternFill>
    </fill>
    <fill>
      <patternFill patternType="solid">
        <fgColor rgb="FFFCE4EC"/>
        <bgColor rgb="FFFBE2D5"/>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64" fontId="5" fillId="5"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2D5"/>
      <rgbColor rgb="FFD9F2EC"/>
      <rgbColor rgb="FF660066"/>
      <rgbColor rgb="FFFF8080"/>
      <rgbColor rgb="FF0066CC"/>
      <rgbColor rgb="FFE2D9F3"/>
      <rgbColor rgb="FF000080"/>
      <rgbColor rgb="FFFF00FF"/>
      <rgbColor rgb="FFFFFF00"/>
      <rgbColor rgb="FF00FFFF"/>
      <rgbColor rgb="FF800080"/>
      <rgbColor rgb="FF800000"/>
      <rgbColor rgb="FF008080"/>
      <rgbColor rgb="FF0000FF"/>
      <rgbColor rgb="FF00CCFF"/>
      <rgbColor rgb="FFD9E1F2"/>
      <rgbColor rgb="FFCCFFCC"/>
      <rgbColor rgb="FFFFFF99"/>
      <rgbColor rgb="FF99CCFF"/>
      <rgbColor rgb="FFFF99CC"/>
      <rgbColor rgb="FFCC99FF"/>
      <rgbColor rgb="FFFCE4EC"/>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13</xdr:col>
      <xdr:colOff>238680</xdr:colOff>
      <xdr:row>24</xdr:row>
      <xdr:rowOff>187200</xdr:rowOff>
    </xdr:to>
    <xdr:pic>
      <xdr:nvPicPr>
        <xdr:cNvPr id="0" name="Image 1" descr="Picture"/>
        <xdr:cNvPicPr/>
      </xdr:nvPicPr>
      <xdr:blipFill>
        <a:blip r:embed="rId1"/>
        <a:stretch/>
      </xdr:blipFill>
      <xdr:spPr>
        <a:xfrm>
          <a:off x="0" y="0"/>
          <a:ext cx="8188200" cy="47592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90"/>
  </cols>
  <sheetData>
    <row r="1" customFormat="false" ht="21" hidden="false" customHeight="true" outlineLevel="0" collapsed="false">
      <c r="A1" s="2" t="s">
        <v>0</v>
      </c>
    </row>
    <row r="2" customFormat="false" ht="15" hidden="false" customHeight="true" outlineLevel="0" collapsed="false">
      <c r="A2" s="3" t="s">
        <v>1</v>
      </c>
    </row>
    <row r="3" customFormat="false" ht="16.5" hidden="false" customHeight="true" outlineLevel="0" collapsed="false">
      <c r="A3" s="4" t="s">
        <v>2</v>
      </c>
      <c r="B3" s="5" t="s">
        <v>3</v>
      </c>
    </row>
    <row r="4" customFormat="false" ht="16.5" hidden="false" customHeight="true" outlineLevel="0" collapsed="false"/>
    <row r="5" customFormat="false" ht="32.25" hidden="false" customHeight="true" outlineLevel="0" collapsed="false">
      <c r="A5" s="4" t="s">
        <v>4</v>
      </c>
      <c r="B5" s="5" t="s">
        <v>5</v>
      </c>
    </row>
    <row r="6" customFormat="false" ht="16.5" hidden="false" customHeight="true" outlineLevel="0" collapsed="false">
      <c r="A6" s="4" t="s">
        <v>6</v>
      </c>
      <c r="B6" s="5" t="s">
        <v>7</v>
      </c>
    </row>
    <row r="7" customFormat="false" ht="16.5" hidden="false" customHeight="true" outlineLevel="0" collapsed="false">
      <c r="A7" s="4" t="s">
        <v>8</v>
      </c>
      <c r="B7" s="5" t="s">
        <v>9</v>
      </c>
    </row>
    <row r="8" customFormat="false" ht="16.5" hidden="false" customHeight="true" outlineLevel="0" collapsed="false">
      <c r="A8" s="4" t="s">
        <v>10</v>
      </c>
      <c r="B8" s="5" t="s">
        <v>11</v>
      </c>
    </row>
    <row r="9" customFormat="false" ht="29.25" hidden="false" customHeight="true" outlineLevel="0" collapsed="false">
      <c r="A9" s="4" t="s">
        <v>12</v>
      </c>
      <c r="B9" s="6" t="s">
        <v>13</v>
      </c>
    </row>
    <row r="10" customFormat="false" ht="29.25" hidden="false" customHeight="true" outlineLevel="0" collapsed="false">
      <c r="A10" s="4" t="s">
        <v>14</v>
      </c>
      <c r="B10" s="5" t="s">
        <v>15</v>
      </c>
    </row>
    <row r="11" customFormat="false" ht="29.25" hidden="false" customHeight="true" outlineLevel="0" collapsed="false">
      <c r="A11" s="4" t="s">
        <v>16</v>
      </c>
      <c r="B11" s="6" t="s">
        <v>17</v>
      </c>
    </row>
    <row r="12" customFormat="false" ht="16.5" hidden="false" customHeight="true" outlineLevel="0" collapsed="false">
      <c r="A12" s="4" t="s">
        <v>18</v>
      </c>
      <c r="B12" s="6" t="s">
        <v>19</v>
      </c>
    </row>
    <row r="13" customFormat="false" ht="29.25" hidden="false" customHeight="true" outlineLevel="0" collapsed="false">
      <c r="A13" s="4" t="s">
        <v>20</v>
      </c>
      <c r="B13" s="5" t="s">
        <v>21</v>
      </c>
    </row>
    <row r="14" customFormat="false" ht="29.25" hidden="false" customHeight="true" outlineLevel="0" collapsed="false">
      <c r="A14" s="4" t="s">
        <v>22</v>
      </c>
      <c r="B14" s="6" t="s">
        <v>23</v>
      </c>
    </row>
    <row r="15" customFormat="false" ht="29.25" hidden="false" customHeight="true" outlineLevel="0" collapsed="false">
      <c r="A15" s="4" t="s">
        <v>24</v>
      </c>
      <c r="B15" s="6"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8"/>
    <col collapsed="false" customWidth="true" hidden="false" outlineLevel="0" max="3" min="3" style="1" width="30"/>
    <col collapsed="false" customWidth="true" hidden="false" outlineLevel="0" max="4" min="4" style="1" width="16"/>
    <col collapsed="false" customWidth="true" hidden="false" outlineLevel="0" max="5" min="5" style="1" width="26"/>
    <col collapsed="false" customWidth="true" hidden="false" outlineLevel="0" max="6" min="6" style="1" width="34"/>
    <col collapsed="false" customWidth="true" hidden="false" outlineLevel="0" max="8" min="7" style="1" width="8"/>
    <col collapsed="false" customWidth="true" hidden="false" outlineLevel="0" max="9" min="9" style="1" width="6"/>
    <col collapsed="false" customWidth="true" hidden="false" outlineLevel="0" max="10" min="10" style="1" width="44"/>
    <col collapsed="false" customWidth="true" hidden="false" outlineLevel="0" max="12" min="11" style="1" width="9"/>
    <col collapsed="false" customWidth="true" hidden="false" outlineLevel="0" max="13" min="13" style="1" width="26"/>
    <col collapsed="false" customWidth="true" hidden="false" outlineLevel="0" max="14" min="14" style="1" width="60"/>
  </cols>
  <sheetData>
    <row r="1" customFormat="false" ht="21" hidden="false" customHeight="true" outlineLevel="0" collapsed="false">
      <c r="A1" s="2" t="s">
        <v>26</v>
      </c>
    </row>
    <row r="2" customFormat="false" ht="15" hidden="false" customHeight="true" outlineLevel="0" collapsed="false">
      <c r="A2" s="3" t="s">
        <v>27</v>
      </c>
    </row>
    <row r="4" customFormat="false" ht="16.5" hidden="false" customHeight="true" outlineLevel="0" collapsed="false">
      <c r="A4" s="7" t="s">
        <v>28</v>
      </c>
      <c r="B4" s="8" t="s">
        <v>29</v>
      </c>
      <c r="C4" s="8" t="s">
        <v>30</v>
      </c>
      <c r="D4" s="8" t="s">
        <v>31</v>
      </c>
      <c r="E4" s="8" t="s">
        <v>32</v>
      </c>
      <c r="F4" s="8" t="s">
        <v>33</v>
      </c>
      <c r="G4" s="8" t="s">
        <v>34</v>
      </c>
      <c r="H4" s="8" t="s">
        <v>35</v>
      </c>
      <c r="I4" s="8" t="s">
        <v>36</v>
      </c>
      <c r="J4" s="8" t="s">
        <v>37</v>
      </c>
      <c r="K4" s="8" t="s">
        <v>38</v>
      </c>
      <c r="L4" s="8" t="s">
        <v>39</v>
      </c>
      <c r="M4" s="8" t="s">
        <v>40</v>
      </c>
      <c r="N4" s="8" t="s">
        <v>41</v>
      </c>
    </row>
    <row r="5" customFormat="false" ht="36" hidden="false" customHeight="true" outlineLevel="0" collapsed="false">
      <c r="A5" s="5" t="s">
        <v>42</v>
      </c>
      <c r="B5" s="6" t="s">
        <v>4</v>
      </c>
      <c r="C5" s="6" t="s">
        <v>43</v>
      </c>
      <c r="D5" s="6" t="s">
        <v>44</v>
      </c>
      <c r="E5" s="5" t="s">
        <v>45</v>
      </c>
      <c r="F5" s="5" t="s">
        <v>46</v>
      </c>
      <c r="G5" s="6" t="n">
        <f aca="false">条件!$B$5</f>
        <v>2</v>
      </c>
      <c r="H5" s="9" t="n">
        <f aca="false">ROUNDUP(G5/10,0)</f>
        <v>1</v>
      </c>
      <c r="I5" s="6" t="s">
        <v>47</v>
      </c>
      <c r="J5" s="6" t="s">
        <v>48</v>
      </c>
      <c r="K5" s="6" t="s">
        <v>49</v>
      </c>
      <c r="L5" s="6" t="s">
        <v>50</v>
      </c>
      <c r="M5" s="10" t="s">
        <v>51</v>
      </c>
      <c r="N5" s="10" t="s">
        <v>52</v>
      </c>
    </row>
    <row r="6" customFormat="false" ht="36" hidden="false" customHeight="true" outlineLevel="0" collapsed="false">
      <c r="A6" s="6" t="s">
        <v>53</v>
      </c>
      <c r="B6" s="6" t="s">
        <v>4</v>
      </c>
      <c r="C6" s="6" t="s">
        <v>54</v>
      </c>
      <c r="D6" s="6" t="s">
        <v>44</v>
      </c>
      <c r="E6" s="5" t="s">
        <v>55</v>
      </c>
      <c r="F6" s="5" t="s">
        <v>56</v>
      </c>
      <c r="G6" s="6" t="n">
        <f aca="false">条件!$B$5</f>
        <v>2</v>
      </c>
      <c r="H6" s="9" t="n">
        <f aca="false">ROUNDUP(G6/10,0)</f>
        <v>1</v>
      </c>
      <c r="I6" s="6" t="s">
        <v>47</v>
      </c>
      <c r="J6" s="6" t="s">
        <v>57</v>
      </c>
      <c r="K6" s="6" t="s">
        <v>49</v>
      </c>
      <c r="L6" s="6" t="s">
        <v>50</v>
      </c>
      <c r="M6" s="10" t="s">
        <v>51</v>
      </c>
      <c r="N6" s="10" t="s">
        <v>58</v>
      </c>
    </row>
    <row r="7" customFormat="false" ht="36" hidden="false" customHeight="true" outlineLevel="0" collapsed="false">
      <c r="A7" s="6" t="s">
        <v>59</v>
      </c>
      <c r="B7" s="6" t="s">
        <v>4</v>
      </c>
      <c r="C7" s="6" t="s">
        <v>60</v>
      </c>
      <c r="D7" s="6" t="s">
        <v>44</v>
      </c>
      <c r="E7" s="5" t="s">
        <v>61</v>
      </c>
      <c r="F7" s="5" t="s">
        <v>62</v>
      </c>
      <c r="G7" s="6" t="n">
        <f aca="false">条件!$B$5</f>
        <v>2</v>
      </c>
      <c r="H7" s="9" t="n">
        <f aca="false">ROUNDUP(G7/10,0)</f>
        <v>1</v>
      </c>
      <c r="I7" s="6" t="s">
        <v>47</v>
      </c>
      <c r="J7" s="6" t="s">
        <v>63</v>
      </c>
      <c r="K7" s="6" t="s">
        <v>49</v>
      </c>
      <c r="L7" s="6" t="s">
        <v>50</v>
      </c>
      <c r="M7" s="10" t="s">
        <v>51</v>
      </c>
      <c r="N7" s="10" t="s">
        <v>64</v>
      </c>
    </row>
    <row r="8" customFormat="false" ht="36" hidden="false" customHeight="true" outlineLevel="0" collapsed="false">
      <c r="A8" s="6" t="s">
        <v>65</v>
      </c>
      <c r="B8" s="6" t="s">
        <v>4</v>
      </c>
      <c r="C8" s="6" t="s">
        <v>66</v>
      </c>
      <c r="D8" s="6" t="s">
        <v>44</v>
      </c>
      <c r="E8" s="5" t="s">
        <v>67</v>
      </c>
      <c r="F8" s="5" t="s">
        <v>68</v>
      </c>
      <c r="G8" s="6" t="n">
        <f aca="false">条件!$B$5</f>
        <v>2</v>
      </c>
      <c r="H8" s="9" t="n">
        <f aca="false">ROUNDUP(G8/10,0)</f>
        <v>1</v>
      </c>
      <c r="I8" s="6" t="s">
        <v>47</v>
      </c>
      <c r="J8" s="6" t="s">
        <v>69</v>
      </c>
      <c r="K8" s="6" t="s">
        <v>49</v>
      </c>
      <c r="L8" s="6" t="s">
        <v>50</v>
      </c>
      <c r="M8" s="10" t="s">
        <v>51</v>
      </c>
      <c r="N8" s="10" t="s">
        <v>70</v>
      </c>
    </row>
    <row r="9" customFormat="false" ht="36" hidden="false" customHeight="true" outlineLevel="0" collapsed="false">
      <c r="A9" s="6" t="n">
        <v>3</v>
      </c>
      <c r="B9" s="6" t="s">
        <v>71</v>
      </c>
      <c r="C9" s="6" t="s">
        <v>72</v>
      </c>
      <c r="D9" s="6" t="s">
        <v>44</v>
      </c>
      <c r="E9" s="5" t="s">
        <v>73</v>
      </c>
      <c r="F9" s="6" t="s">
        <v>74</v>
      </c>
      <c r="G9" s="6" t="n">
        <f aca="false">条件!$B$5*条件!$B$6</f>
        <v>8</v>
      </c>
      <c r="H9" s="9" t="n">
        <f aca="false">ROUNDUP(G9*条件!$B$8/100,0)</f>
        <v>1</v>
      </c>
      <c r="I9" s="6" t="s">
        <v>47</v>
      </c>
      <c r="J9" s="6" t="s">
        <v>75</v>
      </c>
      <c r="K9" s="6" t="s">
        <v>49</v>
      </c>
      <c r="L9" s="6" t="s">
        <v>50</v>
      </c>
      <c r="M9" s="10" t="s">
        <v>76</v>
      </c>
      <c r="N9" s="10" t="s">
        <v>77</v>
      </c>
    </row>
    <row r="10" customFormat="false" ht="36" hidden="false" customHeight="true" outlineLevel="0" collapsed="false">
      <c r="A10" s="6" t="n">
        <v>4</v>
      </c>
      <c r="B10" s="6" t="s">
        <v>71</v>
      </c>
      <c r="C10" s="6" t="s">
        <v>78</v>
      </c>
      <c r="D10" s="6" t="s">
        <v>44</v>
      </c>
      <c r="E10" s="5" t="s">
        <v>79</v>
      </c>
      <c r="F10" s="6" t="s">
        <v>80</v>
      </c>
      <c r="G10" s="6" t="n">
        <f aca="false">条件!$B$5/2*条件!$B$7</f>
        <v>14</v>
      </c>
      <c r="H10" s="9" t="n">
        <f aca="false">ROUNDUP(G10*条件!$B$8/100,0)</f>
        <v>1</v>
      </c>
      <c r="I10" s="6" t="s">
        <v>47</v>
      </c>
      <c r="J10" s="6" t="s">
        <v>81</v>
      </c>
      <c r="K10" s="6" t="s">
        <v>49</v>
      </c>
      <c r="L10" s="6" t="s">
        <v>50</v>
      </c>
      <c r="M10" s="10" t="s">
        <v>76</v>
      </c>
      <c r="N10" s="10" t="s">
        <v>82</v>
      </c>
    </row>
    <row r="11" customFormat="false" ht="36" hidden="false" customHeight="true" outlineLevel="0" collapsed="false">
      <c r="A11" s="6" t="s">
        <v>83</v>
      </c>
      <c r="B11" s="6" t="s">
        <v>71</v>
      </c>
      <c r="C11" s="6" t="s">
        <v>84</v>
      </c>
      <c r="D11" s="6" t="s">
        <v>44</v>
      </c>
      <c r="E11" s="5" t="s">
        <v>85</v>
      </c>
      <c r="F11" s="6" t="s">
        <v>86</v>
      </c>
      <c r="G11" s="6" t="n">
        <f aca="false">条件!$B$5/2*条件!$B$7</f>
        <v>14</v>
      </c>
      <c r="H11" s="9" t="n">
        <f aca="false">ROUNDUP(G11*条件!$B$8/100,0)</f>
        <v>1</v>
      </c>
      <c r="I11" s="6" t="s">
        <v>47</v>
      </c>
      <c r="J11" s="6" t="s">
        <v>87</v>
      </c>
      <c r="K11" s="6" t="s">
        <v>49</v>
      </c>
      <c r="L11" s="6" t="s">
        <v>50</v>
      </c>
      <c r="M11" s="10" t="s">
        <v>76</v>
      </c>
      <c r="N11" s="10" t="s">
        <v>88</v>
      </c>
    </row>
    <row r="12" customFormat="false" ht="36" hidden="false" customHeight="true" outlineLevel="0" collapsed="false">
      <c r="A12" s="6" t="n">
        <v>5</v>
      </c>
      <c r="B12" s="6" t="s">
        <v>71</v>
      </c>
      <c r="C12" s="6" t="s">
        <v>89</v>
      </c>
      <c r="D12" s="6" t="s">
        <v>44</v>
      </c>
      <c r="E12" s="5" t="s">
        <v>90</v>
      </c>
      <c r="F12" s="6" t="s">
        <v>91</v>
      </c>
      <c r="G12" s="6" t="n">
        <f aca="false">条件!$B$5*条件!$B$6</f>
        <v>8</v>
      </c>
      <c r="H12" s="9" t="n">
        <f aca="false">ROUNDUP(G12*条件!$B$8/100,0)</f>
        <v>1</v>
      </c>
      <c r="I12" s="6" t="s">
        <v>47</v>
      </c>
      <c r="J12" s="6" t="s">
        <v>75</v>
      </c>
      <c r="K12" s="6" t="s">
        <v>49</v>
      </c>
      <c r="L12" s="6" t="s">
        <v>50</v>
      </c>
      <c r="M12" s="10" t="s">
        <v>76</v>
      </c>
      <c r="N12" s="10" t="s">
        <v>92</v>
      </c>
    </row>
    <row r="13" customFormat="false" ht="36" hidden="false" customHeight="true" outlineLevel="0" collapsed="false">
      <c r="A13" s="6" t="n">
        <v>6</v>
      </c>
      <c r="B13" s="6" t="s">
        <v>71</v>
      </c>
      <c r="C13" s="6" t="s">
        <v>93</v>
      </c>
      <c r="D13" s="6" t="s">
        <v>44</v>
      </c>
      <c r="E13" s="5" t="s">
        <v>94</v>
      </c>
      <c r="F13" s="6" t="s">
        <v>95</v>
      </c>
      <c r="G13" s="6" t="n">
        <f aca="false">条件!$B$5/2*条件!$B$7</f>
        <v>14</v>
      </c>
      <c r="H13" s="9" t="n">
        <f aca="false">ROUNDUP(G13*条件!$B$8/100,0)</f>
        <v>1</v>
      </c>
      <c r="I13" s="6" t="s">
        <v>47</v>
      </c>
      <c r="J13" s="6" t="s">
        <v>96</v>
      </c>
      <c r="K13" s="6" t="s">
        <v>49</v>
      </c>
      <c r="L13" s="6" t="s">
        <v>50</v>
      </c>
      <c r="M13" s="10" t="s">
        <v>76</v>
      </c>
      <c r="N13" s="10" t="s">
        <v>97</v>
      </c>
    </row>
    <row r="14" customFormat="false" ht="36" hidden="false" customHeight="true" outlineLevel="0" collapsed="false">
      <c r="A14" s="6" t="s">
        <v>98</v>
      </c>
      <c r="B14" s="6" t="s">
        <v>71</v>
      </c>
      <c r="C14" s="6" t="s">
        <v>99</v>
      </c>
      <c r="D14" s="6" t="s">
        <v>44</v>
      </c>
      <c r="E14" s="5" t="s">
        <v>100</v>
      </c>
      <c r="F14" s="6" t="s">
        <v>101</v>
      </c>
      <c r="G14" s="6" t="n">
        <f aca="false">条件!$B$5/2*条件!$B$7</f>
        <v>14</v>
      </c>
      <c r="H14" s="9" t="n">
        <f aca="false">ROUNDUP(G14*条件!$B$8/100,0)</f>
        <v>1</v>
      </c>
      <c r="I14" s="6" t="s">
        <v>47</v>
      </c>
      <c r="J14" s="6" t="s">
        <v>102</v>
      </c>
      <c r="K14" s="6" t="s">
        <v>49</v>
      </c>
      <c r="L14" s="6" t="s">
        <v>50</v>
      </c>
      <c r="M14" s="10" t="s">
        <v>76</v>
      </c>
      <c r="N14" s="10" t="s">
        <v>103</v>
      </c>
    </row>
    <row r="15" customFormat="false" ht="36" hidden="false" customHeight="true" outlineLevel="0" collapsed="false">
      <c r="A15" s="6" t="n">
        <v>7</v>
      </c>
      <c r="B15" s="6" t="s">
        <v>104</v>
      </c>
      <c r="C15" s="6" t="s">
        <v>105</v>
      </c>
      <c r="D15" s="5" t="s">
        <v>106</v>
      </c>
      <c r="E15" s="5" t="s">
        <v>107</v>
      </c>
      <c r="F15" s="5" t="s">
        <v>108</v>
      </c>
      <c r="G15" s="6" t="n">
        <v>0</v>
      </c>
      <c r="H15" s="9" t="n">
        <f aca="false">G15</f>
        <v>0</v>
      </c>
      <c r="I15" s="6" t="s">
        <v>109</v>
      </c>
      <c r="J15" s="6" t="s">
        <v>110</v>
      </c>
      <c r="K15" s="6" t="s">
        <v>49</v>
      </c>
      <c r="L15" s="6" t="s">
        <v>50</v>
      </c>
      <c r="M15" s="10" t="s">
        <v>111</v>
      </c>
      <c r="N15" s="10" t="s">
        <v>112</v>
      </c>
    </row>
    <row r="16" customFormat="false" ht="36" hidden="false" customHeight="true" outlineLevel="0" collapsed="false">
      <c r="A16" s="6" t="n">
        <v>8</v>
      </c>
      <c r="B16" s="6" t="s">
        <v>104</v>
      </c>
      <c r="C16" s="6" t="s">
        <v>113</v>
      </c>
      <c r="D16" s="5" t="s">
        <v>106</v>
      </c>
      <c r="E16" s="5" t="s">
        <v>114</v>
      </c>
      <c r="F16" s="5" t="s">
        <v>115</v>
      </c>
      <c r="G16" s="6" t="n">
        <v>0</v>
      </c>
      <c r="H16" s="9" t="n">
        <f aca="false">G16</f>
        <v>0</v>
      </c>
      <c r="I16" s="6" t="s">
        <v>109</v>
      </c>
      <c r="J16" s="6" t="s">
        <v>116</v>
      </c>
      <c r="K16" s="6" t="s">
        <v>49</v>
      </c>
      <c r="L16" s="6" t="s">
        <v>50</v>
      </c>
      <c r="M16" s="10" t="s">
        <v>117</v>
      </c>
      <c r="N16" s="10" t="s">
        <v>112</v>
      </c>
    </row>
    <row r="17" customFormat="false" ht="36" hidden="false" customHeight="true" outlineLevel="0" collapsed="false">
      <c r="A17" s="6" t="n">
        <v>9</v>
      </c>
      <c r="B17" s="6" t="s">
        <v>104</v>
      </c>
      <c r="C17" s="6" t="s">
        <v>118</v>
      </c>
      <c r="D17" s="5" t="s">
        <v>119</v>
      </c>
      <c r="E17" s="5" t="s">
        <v>120</v>
      </c>
      <c r="F17" s="5" t="s">
        <v>121</v>
      </c>
      <c r="G17" s="6" t="n">
        <v>1</v>
      </c>
      <c r="H17" s="9" t="n">
        <f aca="false">G17</f>
        <v>1</v>
      </c>
      <c r="I17" s="6" t="s">
        <v>109</v>
      </c>
      <c r="J17" s="6" t="s">
        <v>122</v>
      </c>
      <c r="K17" s="6" t="s">
        <v>49</v>
      </c>
      <c r="L17" s="6" t="s">
        <v>50</v>
      </c>
      <c r="M17" s="10"/>
      <c r="N17" s="10" t="s">
        <v>123</v>
      </c>
    </row>
    <row r="18" customFormat="false" ht="36" hidden="false" customHeight="true" outlineLevel="0" collapsed="false">
      <c r="A18" s="5" t="n">
        <v>10</v>
      </c>
      <c r="B18" s="6" t="s">
        <v>124</v>
      </c>
      <c r="C18" s="6" t="s">
        <v>125</v>
      </c>
      <c r="D18" s="6" t="s">
        <v>126</v>
      </c>
      <c r="E18" s="5" t="s">
        <v>127</v>
      </c>
      <c r="F18" s="5" t="s">
        <v>128</v>
      </c>
      <c r="G18" s="5" t="n">
        <v>2</v>
      </c>
      <c r="H18" s="9" t="n">
        <f aca="false">G18</f>
        <v>2</v>
      </c>
      <c r="I18" s="6" t="s">
        <v>129</v>
      </c>
      <c r="J18" s="6" t="s">
        <v>130</v>
      </c>
      <c r="K18" s="6" t="s">
        <v>49</v>
      </c>
      <c r="L18" s="6" t="s">
        <v>50</v>
      </c>
      <c r="M18" s="10" t="s">
        <v>131</v>
      </c>
      <c r="N18" s="10" t="s">
        <v>132</v>
      </c>
    </row>
    <row r="19" customFormat="false" ht="36" hidden="false" customHeight="true" outlineLevel="0" collapsed="false">
      <c r="A19" s="6" t="n">
        <v>11</v>
      </c>
      <c r="B19" s="6" t="s">
        <v>4</v>
      </c>
      <c r="C19" s="6" t="s">
        <v>133</v>
      </c>
      <c r="D19" s="6" t="s">
        <v>134</v>
      </c>
      <c r="E19" s="5" t="s">
        <v>135</v>
      </c>
      <c r="F19" s="6" t="s">
        <v>136</v>
      </c>
      <c r="G19" s="11" t="n">
        <v>2</v>
      </c>
      <c r="H19" s="12" t="n">
        <f aca="false">G19</f>
        <v>2</v>
      </c>
      <c r="I19" s="6" t="s">
        <v>137</v>
      </c>
      <c r="J19" s="6" t="s">
        <v>138</v>
      </c>
      <c r="K19" s="6" t="s">
        <v>49</v>
      </c>
      <c r="L19" s="6" t="s">
        <v>50</v>
      </c>
      <c r="M19" s="10" t="s">
        <v>139</v>
      </c>
      <c r="N19" s="10" t="s">
        <v>140</v>
      </c>
    </row>
    <row r="20" customFormat="false" ht="36" hidden="false" customHeight="true" outlineLevel="0" collapsed="false">
      <c r="A20" s="6" t="s">
        <v>141</v>
      </c>
      <c r="B20" s="6" t="s">
        <v>71</v>
      </c>
      <c r="C20" s="6" t="s">
        <v>142</v>
      </c>
      <c r="D20" s="6" t="s">
        <v>134</v>
      </c>
      <c r="E20" s="5" t="s">
        <v>143</v>
      </c>
      <c r="F20" s="6" t="s">
        <v>144</v>
      </c>
      <c r="G20" s="11" t="n">
        <v>12</v>
      </c>
      <c r="H20" s="12" t="n">
        <f aca="false">ROUNDUP(G20*条件!$B$8,0)</f>
        <v>30</v>
      </c>
      <c r="I20" s="6" t="s">
        <v>137</v>
      </c>
      <c r="J20" s="6" t="s">
        <v>145</v>
      </c>
      <c r="K20" s="6" t="s">
        <v>49</v>
      </c>
      <c r="L20" s="6" t="s">
        <v>50</v>
      </c>
      <c r="M20" s="10" t="s">
        <v>146</v>
      </c>
      <c r="N20" s="10" t="s">
        <v>140</v>
      </c>
    </row>
    <row r="21" customFormat="false" ht="36" hidden="false" customHeight="true" outlineLevel="0" collapsed="false">
      <c r="A21" s="6" t="s">
        <v>147</v>
      </c>
      <c r="B21" s="6" t="s">
        <v>104</v>
      </c>
      <c r="C21" s="6" t="s">
        <v>148</v>
      </c>
      <c r="D21" s="5" t="s">
        <v>149</v>
      </c>
      <c r="E21" s="6" t="s">
        <v>150</v>
      </c>
      <c r="F21" s="6" t="s">
        <v>151</v>
      </c>
      <c r="G21" s="11" t="n">
        <v>1</v>
      </c>
      <c r="H21" s="12" t="n">
        <f aca="false">G21</f>
        <v>1</v>
      </c>
      <c r="I21" s="6" t="s">
        <v>109</v>
      </c>
      <c r="J21" s="6" t="s">
        <v>152</v>
      </c>
      <c r="K21" s="6" t="s">
        <v>49</v>
      </c>
      <c r="L21" s="6" t="s">
        <v>50</v>
      </c>
      <c r="M21" s="10" t="s">
        <v>153</v>
      </c>
      <c r="N21" s="10" t="s">
        <v>154</v>
      </c>
    </row>
    <row r="22" customFormat="false" ht="36" hidden="false" customHeight="true" outlineLevel="0" collapsed="false">
      <c r="A22" s="6" t="n">
        <v>12</v>
      </c>
      <c r="B22" s="6" t="s">
        <v>124</v>
      </c>
      <c r="C22" s="6" t="s">
        <v>155</v>
      </c>
      <c r="D22" s="6" t="s">
        <v>156</v>
      </c>
      <c r="E22" s="6" t="s">
        <v>157</v>
      </c>
      <c r="F22" s="6" t="s">
        <v>158</v>
      </c>
      <c r="G22" s="11" t="n">
        <v>1</v>
      </c>
      <c r="H22" s="12" t="n">
        <f aca="false">G22</f>
        <v>1</v>
      </c>
      <c r="I22" s="6" t="s">
        <v>47</v>
      </c>
      <c r="J22" s="6" t="s">
        <v>159</v>
      </c>
      <c r="K22" s="6" t="s">
        <v>49</v>
      </c>
      <c r="L22" s="6" t="s">
        <v>50</v>
      </c>
      <c r="M22" s="10" t="s">
        <v>160</v>
      </c>
      <c r="N22" s="10" t="s">
        <v>161</v>
      </c>
    </row>
    <row r="23" customFormat="false" ht="36" hidden="false" customHeight="true" outlineLevel="0" collapsed="false">
      <c r="A23" s="6" t="s">
        <v>162</v>
      </c>
      <c r="B23" s="6" t="s">
        <v>124</v>
      </c>
      <c r="C23" s="6" t="s">
        <v>163</v>
      </c>
      <c r="D23" s="6" t="s">
        <v>164</v>
      </c>
      <c r="E23" s="6" t="s">
        <v>165</v>
      </c>
      <c r="F23" s="6" t="s">
        <v>166</v>
      </c>
      <c r="G23" s="11" t="n">
        <v>1</v>
      </c>
      <c r="H23" s="12" t="n">
        <f aca="false">G23</f>
        <v>1</v>
      </c>
      <c r="I23" s="6" t="s">
        <v>47</v>
      </c>
      <c r="J23" s="6" t="s">
        <v>167</v>
      </c>
      <c r="K23" s="6" t="s">
        <v>49</v>
      </c>
      <c r="L23" s="6" t="s">
        <v>50</v>
      </c>
      <c r="M23" s="10" t="s">
        <v>168</v>
      </c>
      <c r="N23" s="10" t="s">
        <v>169</v>
      </c>
    </row>
    <row r="24" customFormat="false" ht="51" hidden="false" customHeight="true" outlineLevel="0" collapsed="false">
      <c r="A24" s="6" t="n">
        <v>13</v>
      </c>
      <c r="B24" s="6" t="s">
        <v>124</v>
      </c>
      <c r="C24" s="5" t="s">
        <v>170</v>
      </c>
      <c r="D24" s="6" t="s">
        <v>171</v>
      </c>
      <c r="E24" s="5" t="s">
        <v>172</v>
      </c>
      <c r="F24" s="6" t="s">
        <v>173</v>
      </c>
      <c r="G24" s="11" t="n">
        <v>1</v>
      </c>
      <c r="H24" s="12" t="n">
        <f aca="false">G24</f>
        <v>1</v>
      </c>
      <c r="I24" s="6" t="s">
        <v>174</v>
      </c>
      <c r="J24" s="6" t="s">
        <v>175</v>
      </c>
      <c r="K24" s="6" t="s">
        <v>49</v>
      </c>
      <c r="L24" s="6" t="s">
        <v>50</v>
      </c>
      <c r="M24" s="10" t="s">
        <v>176</v>
      </c>
      <c r="N24" s="10" t="s">
        <v>177</v>
      </c>
    </row>
    <row r="25" customFormat="false" ht="51" hidden="false" customHeight="true" outlineLevel="0" collapsed="false">
      <c r="A25" s="6" t="n">
        <v>14</v>
      </c>
      <c r="B25" s="6" t="s">
        <v>178</v>
      </c>
      <c r="C25" s="6" t="s">
        <v>179</v>
      </c>
      <c r="D25" s="6" t="s">
        <v>180</v>
      </c>
      <c r="E25" s="5" t="s">
        <v>181</v>
      </c>
      <c r="F25" s="6" t="s">
        <v>182</v>
      </c>
      <c r="G25" s="11" t="n">
        <v>1</v>
      </c>
      <c r="H25" s="12" t="n">
        <f aca="false">G25</f>
        <v>1</v>
      </c>
      <c r="I25" s="6" t="s">
        <v>183</v>
      </c>
      <c r="J25" s="6" t="s">
        <v>184</v>
      </c>
      <c r="K25" s="6" t="s">
        <v>49</v>
      </c>
      <c r="L25" s="6" t="s">
        <v>50</v>
      </c>
      <c r="M25" s="13" t="s">
        <v>185</v>
      </c>
      <c r="N25" s="10" t="s">
        <v>186</v>
      </c>
    </row>
    <row r="26" customFormat="false" ht="36" hidden="false" customHeight="true" outlineLevel="0" collapsed="false">
      <c r="A26" s="6" t="n">
        <v>15</v>
      </c>
      <c r="B26" s="6" t="s">
        <v>178</v>
      </c>
      <c r="C26" s="6" t="s">
        <v>187</v>
      </c>
      <c r="D26" s="6" t="s">
        <v>188</v>
      </c>
      <c r="E26" s="6" t="s">
        <v>189</v>
      </c>
      <c r="F26" s="6" t="s">
        <v>190</v>
      </c>
      <c r="G26" s="6" t="n">
        <v>1</v>
      </c>
      <c r="H26" s="9" t="n">
        <f aca="false">G26</f>
        <v>1</v>
      </c>
      <c r="I26" s="6" t="s">
        <v>191</v>
      </c>
      <c r="J26" s="6" t="s">
        <v>192</v>
      </c>
      <c r="K26" s="6" t="s">
        <v>49</v>
      </c>
      <c r="L26" s="6" t="s">
        <v>50</v>
      </c>
      <c r="M26" s="10" t="s">
        <v>193</v>
      </c>
      <c r="N26" s="10" t="s">
        <v>194</v>
      </c>
    </row>
    <row r="27" customFormat="false" ht="36" hidden="false" customHeight="true" outlineLevel="0" collapsed="false">
      <c r="A27" s="6" t="n">
        <v>16</v>
      </c>
      <c r="B27" s="6" t="s">
        <v>178</v>
      </c>
      <c r="C27" s="6" t="s">
        <v>195</v>
      </c>
      <c r="D27" s="6" t="s">
        <v>188</v>
      </c>
      <c r="E27" s="6" t="s">
        <v>196</v>
      </c>
      <c r="F27" s="6" t="s">
        <v>197</v>
      </c>
      <c r="G27" s="6" t="n">
        <v>1</v>
      </c>
      <c r="H27" s="9" t="n">
        <f aca="false">G27</f>
        <v>1</v>
      </c>
      <c r="I27" s="6" t="s">
        <v>198</v>
      </c>
      <c r="J27" s="6" t="s">
        <v>199</v>
      </c>
      <c r="K27" s="6" t="s">
        <v>49</v>
      </c>
      <c r="L27" s="6" t="s">
        <v>50</v>
      </c>
      <c r="M27" s="10" t="s">
        <v>200</v>
      </c>
      <c r="N27" s="10" t="s">
        <v>201</v>
      </c>
    </row>
    <row r="28" customFormat="false" ht="36" hidden="false" customHeight="true" outlineLevel="0" collapsed="false">
      <c r="A28" s="6" t="n">
        <v>17</v>
      </c>
      <c r="B28" s="6" t="s">
        <v>178</v>
      </c>
      <c r="C28" s="6" t="s">
        <v>202</v>
      </c>
      <c r="D28" s="5" t="s">
        <v>203</v>
      </c>
      <c r="E28" s="6" t="s">
        <v>204</v>
      </c>
      <c r="F28" s="6" t="s">
        <v>205</v>
      </c>
      <c r="G28" s="6" t="n">
        <v>1</v>
      </c>
      <c r="H28" s="9" t="n">
        <f aca="false">G28</f>
        <v>1</v>
      </c>
      <c r="I28" s="6" t="s">
        <v>206</v>
      </c>
      <c r="J28" s="6" t="s">
        <v>207</v>
      </c>
      <c r="K28" s="6" t="s">
        <v>49</v>
      </c>
      <c r="L28" s="6" t="s">
        <v>50</v>
      </c>
      <c r="M28" s="10" t="s">
        <v>208</v>
      </c>
      <c r="N28" s="10" t="s">
        <v>209</v>
      </c>
    </row>
    <row r="29" customFormat="false" ht="51" hidden="false" customHeight="true" outlineLevel="0" collapsed="false">
      <c r="A29" s="6" t="n">
        <v>18</v>
      </c>
      <c r="B29" s="6" t="s">
        <v>178</v>
      </c>
      <c r="C29" s="6" t="s">
        <v>210</v>
      </c>
      <c r="D29" s="6" t="s">
        <v>180</v>
      </c>
      <c r="E29" s="5" t="s">
        <v>211</v>
      </c>
      <c r="F29" s="6" t="s">
        <v>212</v>
      </c>
      <c r="G29" s="6" t="n">
        <v>1</v>
      </c>
      <c r="H29" s="9" t="n">
        <f aca="false">G29</f>
        <v>1</v>
      </c>
      <c r="I29" s="6" t="s">
        <v>183</v>
      </c>
      <c r="J29" s="6" t="s">
        <v>213</v>
      </c>
      <c r="K29" s="6" t="s">
        <v>49</v>
      </c>
      <c r="L29" s="6" t="s">
        <v>50</v>
      </c>
      <c r="M29" s="10" t="s">
        <v>214</v>
      </c>
      <c r="N29" s="10" t="s">
        <v>215</v>
      </c>
    </row>
    <row r="30" customFormat="false" ht="36" hidden="false" customHeight="true" outlineLevel="0" collapsed="false">
      <c r="A30" s="6" t="n">
        <v>19</v>
      </c>
      <c r="B30" s="6" t="s">
        <v>4</v>
      </c>
      <c r="C30" s="6" t="s">
        <v>216</v>
      </c>
      <c r="D30" s="6" t="s">
        <v>149</v>
      </c>
      <c r="E30" s="5" t="s">
        <v>217</v>
      </c>
      <c r="F30" s="6" t="s">
        <v>218</v>
      </c>
      <c r="G30" s="6" t="n">
        <v>4</v>
      </c>
      <c r="H30" s="9" t="n">
        <f aca="false">G30</f>
        <v>4</v>
      </c>
      <c r="I30" s="6" t="s">
        <v>219</v>
      </c>
      <c r="J30" s="6" t="s">
        <v>220</v>
      </c>
      <c r="K30" s="6" t="s">
        <v>49</v>
      </c>
      <c r="L30" s="6" t="s">
        <v>50</v>
      </c>
      <c r="M30" s="10" t="s">
        <v>221</v>
      </c>
      <c r="N30" s="10" t="s">
        <v>222</v>
      </c>
    </row>
    <row r="31" customFormat="false" ht="36" hidden="false" customHeight="true" outlineLevel="0" collapsed="false">
      <c r="A31" s="6" t="n">
        <v>20</v>
      </c>
      <c r="B31" s="6" t="s">
        <v>4</v>
      </c>
      <c r="C31" s="6" t="s">
        <v>223</v>
      </c>
      <c r="D31" s="6" t="s">
        <v>224</v>
      </c>
      <c r="E31" s="5" t="s">
        <v>225</v>
      </c>
      <c r="F31" s="6" t="s">
        <v>226</v>
      </c>
      <c r="G31" s="6" t="n">
        <v>2</v>
      </c>
      <c r="H31" s="9" t="n">
        <f aca="false">G31</f>
        <v>2</v>
      </c>
      <c r="I31" s="6" t="s">
        <v>219</v>
      </c>
      <c r="J31" s="6" t="s">
        <v>227</v>
      </c>
      <c r="K31" s="6" t="s">
        <v>49</v>
      </c>
      <c r="L31" s="6" t="s">
        <v>50</v>
      </c>
      <c r="M31" s="10" t="s">
        <v>228</v>
      </c>
      <c r="N31" s="10" t="s">
        <v>229</v>
      </c>
    </row>
    <row r="32" customFormat="false" ht="36" hidden="false" customHeight="true" outlineLevel="0" collapsed="false">
      <c r="A32" s="6" t="n">
        <v>21</v>
      </c>
      <c r="B32" s="6" t="s">
        <v>4</v>
      </c>
      <c r="C32" s="6" t="s">
        <v>230</v>
      </c>
      <c r="D32" s="6" t="s">
        <v>134</v>
      </c>
      <c r="E32" s="5" t="s">
        <v>231</v>
      </c>
      <c r="F32" s="6" t="s">
        <v>232</v>
      </c>
      <c r="G32" s="6" t="n">
        <v>1</v>
      </c>
      <c r="H32" s="9" t="n">
        <f aca="false">G32</f>
        <v>1</v>
      </c>
      <c r="I32" s="6" t="s">
        <v>137</v>
      </c>
      <c r="J32" s="6" t="s">
        <v>233</v>
      </c>
      <c r="K32" s="6" t="s">
        <v>49</v>
      </c>
      <c r="L32" s="6" t="s">
        <v>50</v>
      </c>
      <c r="M32" s="10" t="s">
        <v>139</v>
      </c>
      <c r="N32" s="10" t="s">
        <v>234</v>
      </c>
    </row>
    <row r="33" customFormat="false" ht="36" hidden="false" customHeight="true" outlineLevel="0" collapsed="false">
      <c r="A33" s="6" t="s">
        <v>235</v>
      </c>
      <c r="B33" s="6" t="s">
        <v>71</v>
      </c>
      <c r="C33" s="6" t="s">
        <v>236</v>
      </c>
      <c r="D33" s="6" t="s">
        <v>134</v>
      </c>
      <c r="E33" s="5" t="s">
        <v>237</v>
      </c>
      <c r="F33" s="6" t="s">
        <v>238</v>
      </c>
      <c r="G33" s="6" t="n">
        <v>4</v>
      </c>
      <c r="H33" s="9" t="n">
        <f aca="false">ROUNDUP(G33*条件!$B$8,0)</f>
        <v>10</v>
      </c>
      <c r="I33" s="6" t="s">
        <v>137</v>
      </c>
      <c r="J33" s="6" t="s">
        <v>239</v>
      </c>
      <c r="K33" s="6" t="s">
        <v>49</v>
      </c>
      <c r="L33" s="6" t="s">
        <v>50</v>
      </c>
      <c r="M33" s="10" t="s">
        <v>146</v>
      </c>
      <c r="N33" s="10" t="s">
        <v>234</v>
      </c>
    </row>
    <row r="34" customFormat="false" ht="36" hidden="false" customHeight="true" outlineLevel="0" collapsed="false">
      <c r="A34" s="6" t="n">
        <v>22</v>
      </c>
      <c r="B34" s="6" t="s">
        <v>71</v>
      </c>
      <c r="C34" s="6" t="s">
        <v>240</v>
      </c>
      <c r="D34" s="6" t="s">
        <v>241</v>
      </c>
      <c r="E34" s="5" t="s">
        <v>242</v>
      </c>
      <c r="F34" s="6" t="s">
        <v>243</v>
      </c>
      <c r="G34" s="6" t="n">
        <v>4</v>
      </c>
      <c r="H34" s="9" t="n">
        <f aca="false">G34</f>
        <v>4</v>
      </c>
      <c r="I34" s="6" t="s">
        <v>137</v>
      </c>
      <c r="J34" s="6" t="s">
        <v>244</v>
      </c>
      <c r="K34" s="6" t="s">
        <v>49</v>
      </c>
      <c r="L34" s="6" t="s">
        <v>50</v>
      </c>
      <c r="M34" s="10" t="s">
        <v>245</v>
      </c>
      <c r="N34" s="10" t="s">
        <v>246</v>
      </c>
    </row>
    <row r="36" customFormat="false" ht="15" hidden="false" customHeight="true" outlineLevel="0" collapsed="false">
      <c r="A36" s="14" t="s">
        <v>247</v>
      </c>
    </row>
    <row r="37" customFormat="false" ht="15" hidden="false" customHeight="true" outlineLevel="0" collapsed="false">
      <c r="A37" s="15" t="s">
        <v>248</v>
      </c>
      <c r="C37" s="15" t="str">
        <f aca="false">COUNTIF(K5:K34,"確認済")&amp;" / "&amp;COUNTA(K5:K34)</f>
        <v>0 / 30</v>
      </c>
    </row>
    <row r="38" customFormat="false" ht="15" hidden="false" customHeight="true" outlineLevel="0" collapsed="false">
      <c r="A38" s="15" t="s">
        <v>249</v>
      </c>
      <c r="C38" s="15" t="str">
        <f aca="false">COUNTIF(L5:L34,"受領済")&amp;" / "&amp;COUNTA(L5:L34)</f>
        <v>0 / 30</v>
      </c>
    </row>
    <row r="40" customFormat="false" ht="15" hidden="false" customHeight="true" outlineLevel="0" collapsed="false">
      <c r="A40" s="14" t="s">
        <v>250</v>
      </c>
    </row>
    <row r="41" customFormat="false" ht="15" hidden="false" customHeight="true" outlineLevel="0" collapsed="false">
      <c r="A41" s="3" t="s">
        <v>251</v>
      </c>
    </row>
    <row r="42" customFormat="false" ht="15" hidden="false" customHeight="true" outlineLevel="0" collapsed="false">
      <c r="A42" s="3" t="s">
        <v>252</v>
      </c>
    </row>
    <row r="43" customFormat="false" ht="15" hidden="false" customHeight="true" outlineLevel="0" collapsed="false">
      <c r="A43" s="3" t="s">
        <v>253</v>
      </c>
    </row>
    <row r="44" customFormat="false" ht="15" hidden="false" customHeight="true" outlineLevel="0" collapsed="false">
      <c r="A44" s="3" t="s">
        <v>254</v>
      </c>
    </row>
  </sheetData>
  <dataValidations count="2">
    <dataValidation allowBlank="true" errorStyle="stop" operator="between" showDropDown="false" showErrorMessage="false" showInputMessage="false" sqref="K5:K34" type="list">
      <formula1>"未確認,確認済"</formula1>
      <formula2>0</formula2>
    </dataValidation>
    <dataValidation allowBlank="true" errorStyle="stop" operator="between" showDropDown="false" showErrorMessage="false" showInputMessage="false" sqref="L5:L34" type="list">
      <formula1>"未購入,発注済,受領済"</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6"/>
    <col collapsed="false" customWidth="true" hidden="false" outlineLevel="0" max="4" min="4" style="1" width="14"/>
    <col collapsed="false" customWidth="true" hidden="false" outlineLevel="0" max="5" min="5" style="1" width="22"/>
    <col collapsed="false" customWidth="true" hidden="false" outlineLevel="0" max="6" min="6" style="1" width="8"/>
    <col collapsed="false" customWidth="true" hidden="false" outlineLevel="0" max="7" min="7" style="1" width="20"/>
    <col collapsed="false" customWidth="true" hidden="false" outlineLevel="0" max="8" min="8" style="1" width="14"/>
    <col collapsed="false" customWidth="true" hidden="false" outlineLevel="0" max="9" min="9" style="1" width="60"/>
  </cols>
  <sheetData>
    <row r="1" customFormat="false" ht="21" hidden="false" customHeight="true" outlineLevel="0" collapsed="false">
      <c r="A1" s="16" t="s">
        <v>255</v>
      </c>
    </row>
    <row r="2" customFormat="false" ht="15" hidden="false" customHeight="true" outlineLevel="0" collapsed="false">
      <c r="A2" s="3" t="s">
        <v>256</v>
      </c>
    </row>
    <row r="4" customFormat="false" ht="15" hidden="false" customHeight="true" outlineLevel="0" collapsed="false">
      <c r="A4" s="17" t="s">
        <v>4</v>
      </c>
      <c r="B4" s="17" t="s">
        <v>257</v>
      </c>
      <c r="C4" s="17" t="s">
        <v>258</v>
      </c>
      <c r="D4" s="17" t="s">
        <v>259</v>
      </c>
      <c r="E4" s="17" t="s">
        <v>124</v>
      </c>
      <c r="F4" s="18" t="s">
        <v>260</v>
      </c>
      <c r="G4" s="17" t="s">
        <v>71</v>
      </c>
      <c r="H4" s="17" t="s">
        <v>261</v>
      </c>
      <c r="I4" s="17" t="s">
        <v>262</v>
      </c>
    </row>
    <row r="5" customFormat="false" ht="15" hidden="false" customHeight="true" outlineLevel="0" collapsed="false">
      <c r="A5" s="19" t="s">
        <v>263</v>
      </c>
      <c r="B5" s="19" t="n">
        <v>1</v>
      </c>
      <c r="C5" s="20" t="s">
        <v>264</v>
      </c>
      <c r="D5" s="20" t="s">
        <v>265</v>
      </c>
      <c r="E5" s="20" t="s">
        <v>266</v>
      </c>
      <c r="F5" s="19" t="s">
        <v>267</v>
      </c>
      <c r="G5" s="19" t="s">
        <v>268</v>
      </c>
      <c r="H5" s="13"/>
      <c r="I5" s="20" t="s">
        <v>269</v>
      </c>
    </row>
    <row r="6" customFormat="false" ht="15" hidden="false" customHeight="true" outlineLevel="0" collapsed="false">
      <c r="A6" s="19" t="s">
        <v>263</v>
      </c>
      <c r="B6" s="20" t="n">
        <v>1</v>
      </c>
      <c r="C6" s="20" t="s">
        <v>270</v>
      </c>
      <c r="D6" s="20" t="s">
        <v>271</v>
      </c>
      <c r="E6" s="20" t="s">
        <v>272</v>
      </c>
      <c r="F6" s="19" t="s">
        <v>267</v>
      </c>
      <c r="G6" s="19" t="s">
        <v>268</v>
      </c>
      <c r="H6" s="13"/>
      <c r="I6" s="20" t="s">
        <v>273</v>
      </c>
    </row>
    <row r="7" customFormat="false" ht="15" hidden="false" customHeight="true" outlineLevel="0" collapsed="false">
      <c r="A7" s="19" t="s">
        <v>263</v>
      </c>
      <c r="B7" s="20" t="n">
        <v>2</v>
      </c>
      <c r="C7" s="20" t="s">
        <v>264</v>
      </c>
      <c r="D7" s="20" t="s">
        <v>274</v>
      </c>
      <c r="E7" s="20" t="s">
        <v>266</v>
      </c>
      <c r="F7" s="19" t="s">
        <v>267</v>
      </c>
      <c r="G7" s="19" t="s">
        <v>268</v>
      </c>
      <c r="H7" s="13"/>
      <c r="I7" s="20" t="s">
        <v>275</v>
      </c>
    </row>
    <row r="8" customFormat="false" ht="15" hidden="false" customHeight="true" outlineLevel="0" collapsed="false">
      <c r="A8" s="19" t="s">
        <v>263</v>
      </c>
      <c r="B8" s="20" t="n">
        <v>2</v>
      </c>
      <c r="C8" s="20" t="s">
        <v>270</v>
      </c>
      <c r="D8" s="20" t="s">
        <v>276</v>
      </c>
      <c r="E8" s="20" t="s">
        <v>272</v>
      </c>
      <c r="F8" s="19" t="s">
        <v>267</v>
      </c>
      <c r="G8" s="19" t="s">
        <v>268</v>
      </c>
      <c r="H8" s="13"/>
      <c r="I8" s="20" t="s">
        <v>277</v>
      </c>
    </row>
    <row r="9" customFormat="false" ht="15" hidden="false" customHeight="true" outlineLevel="0" collapsed="false">
      <c r="A9" s="21" t="s">
        <v>278</v>
      </c>
      <c r="B9" s="21" t="n">
        <v>1</v>
      </c>
      <c r="C9" s="22" t="s">
        <v>264</v>
      </c>
      <c r="D9" s="21" t="s">
        <v>279</v>
      </c>
      <c r="E9" s="21" t="s">
        <v>280</v>
      </c>
      <c r="F9" s="21" t="s">
        <v>281</v>
      </c>
      <c r="G9" s="21" t="s">
        <v>282</v>
      </c>
      <c r="H9" s="13"/>
      <c r="I9" s="22" t="s">
        <v>283</v>
      </c>
    </row>
    <row r="10" customFormat="false" ht="15" hidden="false" customHeight="true" outlineLevel="0" collapsed="false">
      <c r="A10" s="21" t="s">
        <v>278</v>
      </c>
      <c r="B10" s="22" t="n">
        <v>1</v>
      </c>
      <c r="C10" s="22" t="s">
        <v>270</v>
      </c>
      <c r="D10" s="21" t="s">
        <v>284</v>
      </c>
      <c r="E10" s="21" t="s">
        <v>280</v>
      </c>
      <c r="F10" s="21" t="s">
        <v>281</v>
      </c>
      <c r="G10" s="21" t="s">
        <v>282</v>
      </c>
      <c r="H10" s="13"/>
      <c r="I10" s="22" t="s">
        <v>285</v>
      </c>
    </row>
    <row r="11" customFormat="false" ht="15" hidden="false" customHeight="true" outlineLevel="0" collapsed="false">
      <c r="A11" s="21" t="s">
        <v>278</v>
      </c>
      <c r="B11" s="22" t="n">
        <v>2</v>
      </c>
      <c r="C11" s="22" t="s">
        <v>264</v>
      </c>
      <c r="D11" s="21" t="s">
        <v>286</v>
      </c>
      <c r="E11" s="21" t="s">
        <v>280</v>
      </c>
      <c r="F11" s="21" t="s">
        <v>281</v>
      </c>
      <c r="G11" s="21" t="s">
        <v>282</v>
      </c>
      <c r="H11" s="13"/>
      <c r="I11" s="22" t="s">
        <v>287</v>
      </c>
    </row>
    <row r="12" customFormat="false" ht="15" hidden="false" customHeight="true" outlineLevel="0" collapsed="false">
      <c r="A12" s="21" t="s">
        <v>278</v>
      </c>
      <c r="B12" s="22" t="n">
        <v>2</v>
      </c>
      <c r="C12" s="22" t="s">
        <v>270</v>
      </c>
      <c r="D12" s="21" t="s">
        <v>288</v>
      </c>
      <c r="E12" s="21" t="s">
        <v>280</v>
      </c>
      <c r="F12" s="21" t="s">
        <v>281</v>
      </c>
      <c r="G12" s="21" t="s">
        <v>282</v>
      </c>
      <c r="H12" s="13"/>
      <c r="I12" s="22" t="s">
        <v>289</v>
      </c>
    </row>
    <row r="13" customFormat="false" ht="15" hidden="false" customHeight="true" outlineLevel="0" collapsed="false">
      <c r="A13" s="23" t="s">
        <v>278</v>
      </c>
      <c r="B13" s="23" t="n">
        <v>3</v>
      </c>
      <c r="C13" s="24" t="s">
        <v>264</v>
      </c>
      <c r="D13" s="23" t="s">
        <v>290</v>
      </c>
      <c r="E13" s="23" t="s">
        <v>280</v>
      </c>
      <c r="F13" s="23" t="s">
        <v>281</v>
      </c>
      <c r="G13" s="23" t="s">
        <v>282</v>
      </c>
      <c r="H13" s="13"/>
      <c r="I13" s="24" t="s">
        <v>291</v>
      </c>
    </row>
    <row r="14" customFormat="false" ht="15" hidden="false" customHeight="true" outlineLevel="0" collapsed="false">
      <c r="A14" s="23" t="s">
        <v>278</v>
      </c>
      <c r="B14" s="24" t="n">
        <v>3</v>
      </c>
      <c r="C14" s="24" t="s">
        <v>270</v>
      </c>
      <c r="D14" s="23" t="s">
        <v>292</v>
      </c>
      <c r="E14" s="23" t="s">
        <v>280</v>
      </c>
      <c r="F14" s="23" t="s">
        <v>281</v>
      </c>
      <c r="G14" s="23" t="s">
        <v>282</v>
      </c>
      <c r="H14" s="13"/>
      <c r="I14" s="24" t="s">
        <v>293</v>
      </c>
    </row>
    <row r="15" customFormat="false" ht="15" hidden="false" customHeight="true" outlineLevel="0" collapsed="false">
      <c r="A15" s="25" t="s">
        <v>278</v>
      </c>
      <c r="B15" s="25" t="n">
        <v>4</v>
      </c>
      <c r="C15" s="26" t="s">
        <v>264</v>
      </c>
      <c r="D15" s="25" t="s">
        <v>294</v>
      </c>
      <c r="E15" s="25" t="s">
        <v>280</v>
      </c>
      <c r="F15" s="25" t="s">
        <v>281</v>
      </c>
      <c r="G15" s="25" t="s">
        <v>282</v>
      </c>
      <c r="H15" s="13"/>
      <c r="I15" s="26" t="s">
        <v>295</v>
      </c>
    </row>
    <row r="16" customFormat="false" ht="15" hidden="false" customHeight="true" outlineLevel="0" collapsed="false">
      <c r="A16" s="25" t="s">
        <v>278</v>
      </c>
      <c r="B16" s="26" t="n">
        <v>4</v>
      </c>
      <c r="C16" s="26" t="s">
        <v>270</v>
      </c>
      <c r="D16" s="25" t="s">
        <v>296</v>
      </c>
      <c r="E16" s="25" t="s">
        <v>280</v>
      </c>
      <c r="F16" s="25" t="s">
        <v>281</v>
      </c>
      <c r="G16" s="25" t="s">
        <v>282</v>
      </c>
      <c r="H16" s="13"/>
      <c r="I16" s="26" t="s">
        <v>297</v>
      </c>
    </row>
    <row r="17" customFormat="false" ht="29.25" hidden="false" customHeight="true" outlineLevel="0" collapsed="false">
      <c r="A17" s="21" t="s">
        <v>278</v>
      </c>
      <c r="B17" s="22" t="n">
        <v>5</v>
      </c>
      <c r="C17" s="22" t="s">
        <v>264</v>
      </c>
      <c r="D17" s="22" t="s">
        <v>298</v>
      </c>
      <c r="E17" s="21" t="s">
        <v>280</v>
      </c>
      <c r="F17" s="21" t="s">
        <v>281</v>
      </c>
      <c r="G17" s="21" t="s">
        <v>299</v>
      </c>
      <c r="H17" s="13"/>
      <c r="I17" s="22" t="s">
        <v>300</v>
      </c>
    </row>
    <row r="18" customFormat="false" ht="15" hidden="false" customHeight="true" outlineLevel="0" collapsed="false">
      <c r="A18" s="21" t="s">
        <v>278</v>
      </c>
      <c r="B18" s="22" t="n">
        <v>5</v>
      </c>
      <c r="C18" s="22" t="s">
        <v>270</v>
      </c>
      <c r="D18" s="22" t="s">
        <v>301</v>
      </c>
      <c r="E18" s="21" t="s">
        <v>280</v>
      </c>
      <c r="F18" s="21" t="s">
        <v>149</v>
      </c>
      <c r="G18" s="21" t="s">
        <v>282</v>
      </c>
      <c r="H18" s="13"/>
      <c r="I18" s="22" t="s">
        <v>302</v>
      </c>
    </row>
    <row r="19" customFormat="false" ht="15" hidden="false" customHeight="true" outlineLevel="0" collapsed="false">
      <c r="A19" s="27" t="s">
        <v>278</v>
      </c>
      <c r="B19" s="27" t="n">
        <v>6</v>
      </c>
      <c r="C19" s="28" t="s">
        <v>264</v>
      </c>
      <c r="D19" s="27" t="s">
        <v>303</v>
      </c>
      <c r="E19" s="27" t="s">
        <v>280</v>
      </c>
      <c r="F19" s="27" t="s">
        <v>281</v>
      </c>
      <c r="G19" s="27" t="s">
        <v>282</v>
      </c>
      <c r="H19" s="13"/>
      <c r="I19" s="28" t="s">
        <v>304</v>
      </c>
    </row>
    <row r="20" customFormat="false" ht="29.25" hidden="false" customHeight="true" outlineLevel="0" collapsed="false">
      <c r="A20" s="27" t="s">
        <v>278</v>
      </c>
      <c r="B20" s="28" t="n">
        <v>6</v>
      </c>
      <c r="C20" s="28" t="s">
        <v>270</v>
      </c>
      <c r="D20" s="27" t="s">
        <v>305</v>
      </c>
      <c r="E20" s="27" t="s">
        <v>280</v>
      </c>
      <c r="F20" s="27" t="s">
        <v>281</v>
      </c>
      <c r="G20" s="27" t="s">
        <v>282</v>
      </c>
      <c r="H20" s="13"/>
      <c r="I20" s="28" t="s">
        <v>306</v>
      </c>
    </row>
    <row r="21" customFormat="false" ht="15" hidden="false" customHeight="true" outlineLevel="0" collapsed="false">
      <c r="A21" s="27" t="s">
        <v>278</v>
      </c>
      <c r="B21" s="28" t="n">
        <v>7</v>
      </c>
      <c r="C21" s="28" t="s">
        <v>264</v>
      </c>
      <c r="D21" s="27" t="s">
        <v>307</v>
      </c>
      <c r="E21" s="27" t="s">
        <v>280</v>
      </c>
      <c r="F21" s="27" t="s">
        <v>281</v>
      </c>
      <c r="G21" s="27" t="s">
        <v>282</v>
      </c>
      <c r="H21" s="13"/>
      <c r="I21" s="28" t="s">
        <v>308</v>
      </c>
    </row>
    <row r="22" customFormat="false" ht="15" hidden="false" customHeight="true" outlineLevel="0" collapsed="false">
      <c r="A22" s="27" t="s">
        <v>278</v>
      </c>
      <c r="B22" s="28" t="n">
        <v>7</v>
      </c>
      <c r="C22" s="28" t="s">
        <v>270</v>
      </c>
      <c r="D22" s="27" t="s">
        <v>309</v>
      </c>
      <c r="E22" s="27" t="s">
        <v>280</v>
      </c>
      <c r="F22" s="27" t="s">
        <v>281</v>
      </c>
      <c r="G22" s="27" t="s">
        <v>282</v>
      </c>
      <c r="H22" s="13"/>
      <c r="I22" s="28" t="s">
        <v>310</v>
      </c>
    </row>
    <row r="24" customFormat="false" ht="15" hidden="false" customHeight="true" outlineLevel="0" collapsed="false">
      <c r="A24" s="3" t="s">
        <v>311</v>
      </c>
    </row>
    <row r="25" customFormat="false" ht="15" hidden="false" customHeight="true" outlineLevel="0" collapsed="false">
      <c r="A25" s="3" t="s">
        <v>312</v>
      </c>
    </row>
    <row r="26" customFormat="false" ht="15" hidden="false" customHeight="true" outlineLevel="0" collapsed="false">
      <c r="A26" s="29" t="s">
        <v>313</v>
      </c>
    </row>
    <row r="27" customFormat="false" ht="15" hidden="false" customHeight="true" outlineLevel="0" collapsed="false">
      <c r="A27" s="3" t="s">
        <v>314</v>
      </c>
    </row>
    <row r="28" customFormat="false" ht="15" hidden="false" customHeight="true" outlineLevel="0" collapsed="false">
      <c r="A28" s="29" t="s">
        <v>315</v>
      </c>
    </row>
    <row r="29" customFormat="false" ht="15" hidden="false" customHeight="true" outlineLevel="0" collapsed="false">
      <c r="A29" s="3" t="s">
        <v>316</v>
      </c>
    </row>
    <row r="30" customFormat="false" ht="15" hidden="false" customHeight="true" outlineLevel="0" collapsed="false">
      <c r="A30" s="3" t="s">
        <v>317</v>
      </c>
    </row>
    <row r="31" customFormat="false" ht="21" hidden="false" customHeight="true" outlineLevel="0" collapsed="false"/>
    <row r="32" customFormat="false" ht="21" hidden="false" customHeight="true" outlineLevel="0" collapsed="false">
      <c r="A32" s="16" t="s">
        <v>318</v>
      </c>
    </row>
    <row r="33" customFormat="false" ht="30" hidden="false" customHeight="true" outlineLevel="0" collapsed="false">
      <c r="A33" s="30" t="s">
        <v>319</v>
      </c>
      <c r="B33" s="30" t="s">
        <v>320</v>
      </c>
      <c r="C33" s="30"/>
      <c r="D33" s="30" t="s">
        <v>321</v>
      </c>
      <c r="E33" s="30" t="s">
        <v>322</v>
      </c>
      <c r="F33" s="30"/>
      <c r="G33" s="30" t="s">
        <v>323</v>
      </c>
      <c r="H33" s="30" t="s">
        <v>324</v>
      </c>
      <c r="I33" s="30" t="s">
        <v>262</v>
      </c>
    </row>
    <row r="34" customFormat="false" ht="30" hidden="false" customHeight="true" outlineLevel="0" collapsed="false">
      <c r="A34" s="31" t="n">
        <v>1</v>
      </c>
      <c r="B34" s="31"/>
      <c r="C34" s="31"/>
      <c r="D34" s="31" t="s">
        <v>294</v>
      </c>
      <c r="E34" s="32" t="s">
        <v>325</v>
      </c>
      <c r="F34" s="32"/>
      <c r="G34" s="32" t="s">
        <v>298</v>
      </c>
      <c r="H34" s="33" t="s">
        <v>326</v>
      </c>
      <c r="I34" s="32" t="s">
        <v>327</v>
      </c>
    </row>
    <row r="35" customFormat="false" ht="30" hidden="false" customHeight="true" outlineLevel="0" collapsed="false">
      <c r="A35" s="31" t="n">
        <v>2</v>
      </c>
      <c r="B35" s="31"/>
      <c r="C35" s="31"/>
      <c r="D35" s="31" t="s">
        <v>296</v>
      </c>
      <c r="E35" s="32" t="s">
        <v>328</v>
      </c>
      <c r="F35" s="32"/>
      <c r="G35" s="32" t="s">
        <v>298</v>
      </c>
      <c r="H35" s="33" t="s">
        <v>326</v>
      </c>
      <c r="I35" s="32" t="s">
        <v>329</v>
      </c>
    </row>
    <row r="36" customFormat="false" ht="30" hidden="false" customHeight="true" outlineLevel="0" collapsed="false">
      <c r="A36" s="31" t="n">
        <v>3</v>
      </c>
      <c r="B36" s="31"/>
      <c r="C36" s="31"/>
      <c r="D36" s="31" t="s">
        <v>279</v>
      </c>
      <c r="E36" s="32" t="s">
        <v>330</v>
      </c>
      <c r="F36" s="32"/>
      <c r="G36" s="31" t="s">
        <v>284</v>
      </c>
      <c r="H36" s="33" t="s">
        <v>331</v>
      </c>
      <c r="I36" s="32" t="s">
        <v>332</v>
      </c>
    </row>
    <row r="37" customFormat="false" ht="30" hidden="false" customHeight="true" outlineLevel="0" collapsed="false">
      <c r="A37" s="31" t="n">
        <v>4</v>
      </c>
      <c r="B37" s="31"/>
      <c r="C37" s="31"/>
      <c r="D37" s="31" t="s">
        <v>303</v>
      </c>
      <c r="E37" s="32" t="s">
        <v>333</v>
      </c>
      <c r="F37" s="32"/>
      <c r="G37" s="31" t="s">
        <v>305</v>
      </c>
      <c r="H37" s="33" t="s">
        <v>334</v>
      </c>
      <c r="I37" s="32" t="s">
        <v>335</v>
      </c>
    </row>
    <row r="38" customFormat="false" ht="30" hidden="false" customHeight="true" outlineLevel="0" collapsed="false">
      <c r="A38" s="31" t="n">
        <v>5</v>
      </c>
      <c r="B38" s="31"/>
      <c r="C38" s="31"/>
      <c r="D38" s="31" t="s">
        <v>307</v>
      </c>
      <c r="E38" s="32" t="s">
        <v>336</v>
      </c>
      <c r="F38" s="32"/>
      <c r="G38" s="31" t="s">
        <v>309</v>
      </c>
      <c r="H38" s="33" t="s">
        <v>337</v>
      </c>
      <c r="I38" s="32" t="s">
        <v>338</v>
      </c>
    </row>
    <row r="39" customFormat="false" ht="30" hidden="false" customHeight="true" outlineLevel="0" collapsed="false">
      <c r="A39" s="31" t="n">
        <v>6</v>
      </c>
      <c r="B39" s="31"/>
      <c r="C39" s="31"/>
      <c r="D39" s="31" t="s">
        <v>290</v>
      </c>
      <c r="E39" s="32" t="s">
        <v>339</v>
      </c>
      <c r="F39" s="32"/>
      <c r="G39" s="31" t="s">
        <v>292</v>
      </c>
      <c r="H39" s="33" t="s">
        <v>340</v>
      </c>
      <c r="I39" s="32" t="s">
        <v>341</v>
      </c>
    </row>
    <row r="40" customFormat="false" ht="30" hidden="false" customHeight="true" outlineLevel="0" collapsed="false">
      <c r="A40" s="31" t="n">
        <v>7</v>
      </c>
      <c r="B40" s="31"/>
      <c r="C40" s="31"/>
      <c r="D40" s="31" t="s">
        <v>286</v>
      </c>
      <c r="E40" s="32" t="s">
        <v>342</v>
      </c>
      <c r="F40" s="32"/>
      <c r="G40" s="31" t="s">
        <v>288</v>
      </c>
      <c r="H40" s="33" t="s">
        <v>343</v>
      </c>
      <c r="I40" s="32" t="s">
        <v>344</v>
      </c>
    </row>
    <row r="41" customFormat="false" ht="15" hidden="false" customHeight="true" outlineLevel="0" collapsed="false"/>
    <row r="42" customFormat="false" ht="15" hidden="false" customHeight="true" outlineLevel="0" collapsed="false">
      <c r="A42" s="3" t="s">
        <v>345</v>
      </c>
    </row>
    <row r="43" customFormat="false" ht="15" hidden="false" customHeight="true" outlineLevel="0" collapsed="false">
      <c r="A43" s="3" t="s">
        <v>346</v>
      </c>
    </row>
    <row r="44" customFormat="false" ht="15" hidden="false" customHeight="true" outlineLevel="0" collapsed="false">
      <c r="A44" s="3" t="s">
        <v>347</v>
      </c>
    </row>
    <row r="45" customFormat="false" ht="15" hidden="false" customHeight="true" outlineLevel="0" collapsed="false">
      <c r="A45" s="3" t="s">
        <v>348</v>
      </c>
    </row>
    <row r="47" customFormat="false" ht="21" hidden="false" customHeight="true" outlineLevel="0" collapsed="false">
      <c r="A47" s="2" t="s">
        <v>349</v>
      </c>
    </row>
    <row r="48" customFormat="false" ht="19.5" hidden="false" customHeight="true" outlineLevel="0" collapsed="false">
      <c r="A48" s="30" t="s">
        <v>4</v>
      </c>
      <c r="B48" s="30" t="s">
        <v>259</v>
      </c>
      <c r="C48" s="30"/>
      <c r="D48" s="30"/>
      <c r="E48" s="30" t="s">
        <v>124</v>
      </c>
      <c r="F48" s="30" t="s">
        <v>71</v>
      </c>
      <c r="G48" s="30"/>
      <c r="H48" s="30" t="s">
        <v>350</v>
      </c>
      <c r="I48" s="30" t="s">
        <v>351</v>
      </c>
    </row>
    <row r="49" customFormat="false" ht="45" hidden="false" customHeight="true" outlineLevel="0" collapsed="false">
      <c r="A49" s="31" t="s">
        <v>263</v>
      </c>
      <c r="B49" s="32" t="s">
        <v>352</v>
      </c>
      <c r="C49" s="32"/>
      <c r="D49" s="32"/>
      <c r="E49" s="31" t="s">
        <v>353</v>
      </c>
      <c r="F49" s="31" t="s">
        <v>354</v>
      </c>
      <c r="G49" s="31"/>
      <c r="H49" s="34" t="n">
        <v>4</v>
      </c>
      <c r="I49" s="32" t="s">
        <v>355</v>
      </c>
    </row>
    <row r="50" customFormat="false" ht="45" hidden="false" customHeight="true" outlineLevel="0" collapsed="false">
      <c r="A50" s="31" t="s">
        <v>278</v>
      </c>
      <c r="B50" s="31" t="s">
        <v>356</v>
      </c>
      <c r="C50" s="31"/>
      <c r="D50" s="31"/>
      <c r="E50" s="31" t="s">
        <v>357</v>
      </c>
      <c r="F50" s="31" t="s">
        <v>358</v>
      </c>
      <c r="G50" s="31"/>
      <c r="H50" s="34" t="n">
        <v>6</v>
      </c>
      <c r="I50" s="32" t="s">
        <v>359</v>
      </c>
    </row>
    <row r="51" customFormat="false" ht="45" hidden="false" customHeight="true" outlineLevel="0" collapsed="false">
      <c r="A51" s="31" t="s">
        <v>278</v>
      </c>
      <c r="B51" s="31" t="s">
        <v>360</v>
      </c>
      <c r="C51" s="31"/>
      <c r="D51" s="31"/>
      <c r="E51" s="31" t="s">
        <v>357</v>
      </c>
      <c r="F51" s="31" t="s">
        <v>358</v>
      </c>
      <c r="G51" s="31"/>
      <c r="H51" s="34" t="n">
        <v>3</v>
      </c>
      <c r="I51" s="32" t="s">
        <v>361</v>
      </c>
    </row>
    <row r="52" customFormat="false" ht="45" hidden="false" customHeight="true" outlineLevel="0" collapsed="false">
      <c r="A52" s="31" t="s">
        <v>278</v>
      </c>
      <c r="B52" s="32" t="s">
        <v>301</v>
      </c>
      <c r="C52" s="32"/>
      <c r="D52" s="32"/>
      <c r="E52" s="31" t="s">
        <v>357</v>
      </c>
      <c r="F52" s="31" t="s">
        <v>362</v>
      </c>
      <c r="G52" s="31"/>
      <c r="H52" s="33" t="s">
        <v>363</v>
      </c>
      <c r="I52" s="32" t="s">
        <v>364</v>
      </c>
    </row>
    <row r="53" customFormat="false" ht="45" hidden="false" customHeight="true" outlineLevel="0" collapsed="false">
      <c r="A53" s="31" t="s">
        <v>278</v>
      </c>
      <c r="B53" s="31" t="s">
        <v>365</v>
      </c>
      <c r="C53" s="31"/>
      <c r="D53" s="31"/>
      <c r="E53" s="31" t="s">
        <v>366</v>
      </c>
      <c r="F53" s="31" t="s">
        <v>358</v>
      </c>
      <c r="G53" s="31"/>
      <c r="H53" s="34" t="n">
        <v>4</v>
      </c>
      <c r="I53" s="32" t="s">
        <v>367</v>
      </c>
    </row>
    <row r="55" customFormat="false" ht="15" hidden="false" customHeight="true" outlineLevel="0" collapsed="false">
      <c r="A55" s="3" t="s">
        <v>368</v>
      </c>
    </row>
    <row r="56" customFormat="false" ht="15" hidden="false" customHeight="true" outlineLevel="0" collapsed="false">
      <c r="A56" s="3" t="s">
        <v>369</v>
      </c>
    </row>
  </sheetData>
  <mergeCells count="28">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8:D48"/>
    <mergeCell ref="F48:G48"/>
    <mergeCell ref="B49:D49"/>
    <mergeCell ref="F49:G49"/>
    <mergeCell ref="B50:D50"/>
    <mergeCell ref="F50:G50"/>
    <mergeCell ref="B51:D51"/>
    <mergeCell ref="F51:G51"/>
    <mergeCell ref="B52:D52"/>
    <mergeCell ref="F52:G52"/>
    <mergeCell ref="B53:D53"/>
    <mergeCell ref="F53: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0"/>
    <col collapsed="false" customWidth="true" hidden="false" outlineLevel="0" max="3" min="3" style="1" width="8"/>
    <col collapsed="false" customWidth="true" hidden="false" outlineLevel="0" max="4" min="4" style="1" width="48"/>
  </cols>
  <sheetData>
    <row r="1" customFormat="false" ht="17.25" hidden="false" customHeight="true" outlineLevel="0" collapsed="false">
      <c r="A1" s="2" t="s">
        <v>370</v>
      </c>
    </row>
    <row r="2" customFormat="false" ht="15" hidden="false" customHeight="true" outlineLevel="0" collapsed="false">
      <c r="A2" s="3" t="s">
        <v>371</v>
      </c>
    </row>
    <row r="4" customFormat="false" ht="15" hidden="false" customHeight="true" outlineLevel="0" collapsed="false">
      <c r="A4" s="17" t="s">
        <v>372</v>
      </c>
      <c r="B4" s="17" t="s">
        <v>373</v>
      </c>
      <c r="C4" s="17" t="s">
        <v>36</v>
      </c>
      <c r="D4" s="17" t="s">
        <v>374</v>
      </c>
    </row>
    <row r="5" customFormat="false" ht="15" hidden="false" customHeight="true" outlineLevel="0" collapsed="false">
      <c r="A5" s="35" t="s">
        <v>375</v>
      </c>
      <c r="B5" s="36" t="n">
        <v>2</v>
      </c>
      <c r="C5" s="35" t="s">
        <v>219</v>
      </c>
      <c r="D5" s="37" t="s">
        <v>376</v>
      </c>
    </row>
    <row r="6" customFormat="false" ht="16.5" hidden="false" customHeight="true" outlineLevel="0" collapsed="false">
      <c r="A6" s="38" t="s">
        <v>377</v>
      </c>
      <c r="B6" s="36" t="n">
        <v>4</v>
      </c>
      <c r="C6" s="35" t="s">
        <v>109</v>
      </c>
      <c r="D6" s="37" t="s">
        <v>378</v>
      </c>
    </row>
    <row r="7" customFormat="false" ht="16.5" hidden="false" customHeight="true" outlineLevel="0" collapsed="false">
      <c r="A7" s="38" t="s">
        <v>379</v>
      </c>
      <c r="B7" s="36" t="n">
        <v>14</v>
      </c>
      <c r="C7" s="35" t="s">
        <v>109</v>
      </c>
      <c r="D7" s="39" t="s">
        <v>380</v>
      </c>
    </row>
    <row r="8" customFormat="false" ht="15" hidden="false" customHeight="true" outlineLevel="0" collapsed="false">
      <c r="A8" s="35" t="s">
        <v>381</v>
      </c>
      <c r="B8" s="36" t="n">
        <v>2.5</v>
      </c>
      <c r="C8" s="35" t="s">
        <v>382</v>
      </c>
      <c r="D8" s="37" t="s">
        <v>383</v>
      </c>
    </row>
    <row r="9" customFormat="false" ht="15" hidden="false" customHeight="true" outlineLevel="0" collapsed="false">
      <c r="A9" s="35" t="s">
        <v>384</v>
      </c>
      <c r="B9" s="36" t="n">
        <v>0.6</v>
      </c>
      <c r="C9" s="38" t="s">
        <v>385</v>
      </c>
      <c r="D9" s="37" t="s">
        <v>386</v>
      </c>
    </row>
    <row r="10" customFormat="false" ht="15" hidden="false" customHeight="true" outlineLevel="0" collapsed="false">
      <c r="A10" s="35" t="s">
        <v>387</v>
      </c>
      <c r="B10" s="36" t="n">
        <v>0.1</v>
      </c>
      <c r="C10" s="38" t="s">
        <v>385</v>
      </c>
      <c r="D10" s="37" t="s">
        <v>388</v>
      </c>
    </row>
    <row r="11" customFormat="false" ht="15" hidden="false" customHeight="true" outlineLevel="0" collapsed="false">
      <c r="A11" s="35" t="s">
        <v>389</v>
      </c>
      <c r="B11" s="36" t="n">
        <v>0.1</v>
      </c>
      <c r="C11" s="38" t="s">
        <v>385</v>
      </c>
      <c r="D11" s="37" t="s">
        <v>388</v>
      </c>
    </row>
    <row r="12" customFormat="false" ht="15" hidden="false" customHeight="true" outlineLevel="0" collapsed="false">
      <c r="A12" s="35" t="s">
        <v>390</v>
      </c>
      <c r="B12" s="36" t="n">
        <v>2</v>
      </c>
      <c r="C12" s="35" t="s">
        <v>382</v>
      </c>
      <c r="D12" s="37" t="s">
        <v>391</v>
      </c>
    </row>
    <row r="13" customFormat="false" ht="15" hidden="false" customHeight="true" outlineLevel="0" collapsed="false">
      <c r="A13" s="35" t="s">
        <v>392</v>
      </c>
      <c r="B13" s="36" t="n">
        <v>4</v>
      </c>
      <c r="C13" s="35" t="s">
        <v>109</v>
      </c>
      <c r="D13" s="37" t="s">
        <v>393</v>
      </c>
    </row>
    <row r="14" customFormat="false" ht="15" hidden="false" customHeight="true" outlineLevel="0" collapsed="false">
      <c r="A14" s="35" t="s">
        <v>394</v>
      </c>
      <c r="B14" s="36" t="n">
        <v>1.2</v>
      </c>
      <c r="C14" s="35" t="s">
        <v>382</v>
      </c>
      <c r="D14" s="37" t="s">
        <v>395</v>
      </c>
    </row>
    <row r="15" customFormat="false" ht="15" hidden="false" customHeight="true" outlineLevel="0" collapsed="false">
      <c r="A15" s="35" t="s">
        <v>396</v>
      </c>
      <c r="B15" s="36" t="n">
        <v>6</v>
      </c>
      <c r="C15" s="35" t="s">
        <v>137</v>
      </c>
      <c r="D15" s="37" t="s">
        <v>397</v>
      </c>
    </row>
    <row r="17" customFormat="false" ht="16.5" hidden="false" customHeight="true" outlineLevel="0" collapsed="false">
      <c r="A17" s="40" t="s">
        <v>398</v>
      </c>
      <c r="B17" s="35" t="n">
        <f aca="false">B9+B10+B11</f>
        <v>0.8</v>
      </c>
      <c r="C17" s="41" t="s">
        <v>385</v>
      </c>
      <c r="D17" s="4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2026-10-06T07:29:23Z</dcterms:created>
  <dc:creator>openpyxl</dc:creator>
  <dc:description/>
  <dc:language>en-US</dc:language>
  <cp:lastModifiedBy/>
  <dcterms:modified xsi:type="dcterms:W3CDTF">2026-10-23T12:10:15Z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