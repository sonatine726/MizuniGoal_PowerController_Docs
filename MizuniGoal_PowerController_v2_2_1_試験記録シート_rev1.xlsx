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表紙・凡例" sheetId="1" state="visible" r:id="rId1"/>
    <sheet xmlns:r="http://schemas.openxmlformats.org/officeDocument/2006/relationships" name="0_通電前確認" sheetId="2" state="visible" r:id="rId2"/>
    <sheet xmlns:r="http://schemas.openxmlformats.org/officeDocument/2006/relationships" name="1_低電圧基本動作" sheetId="3" state="visible" r:id="rId3"/>
    <sheet xmlns:r="http://schemas.openxmlformats.org/officeDocument/2006/relationships" name="2_起動波形" sheetId="4" state="visible" r:id="rId4"/>
    <sheet xmlns:r="http://schemas.openxmlformats.org/officeDocument/2006/relationships" name="3_熱特性" sheetId="5" state="visible" r:id="rId5"/>
    <sheet xmlns:r="http://schemas.openxmlformats.org/officeDocument/2006/relationships" name="4_保護機能" sheetId="6" state="visible" r:id="rId6"/>
    <sheet xmlns:r="http://schemas.openxmlformats.org/officeDocument/2006/relationships" name="5_ブレーキチョッパ" sheetId="7" state="visible" r:id="rId7"/>
    <sheet xmlns:r="http://schemas.openxmlformats.org/officeDocument/2006/relationships" name="6_走行時総合" sheetId="8" state="visible" r:id="rId8"/>
    <sheet xmlns:r="http://schemas.openxmlformats.org/officeDocument/2006/relationships" name="7_GND分離" sheetId="9" state="visible" r:id="rId9"/>
    <sheet xmlns:r="http://schemas.openxmlformats.org/officeDocument/2006/relationships" name="8_外部スイッチ・LED" sheetId="10" state="visible" r:id="rId10"/>
    <sheet xmlns:r="http://schemas.openxmlformats.org/officeDocument/2006/relationships" name="9_ENしきい値選別" sheetId="11" state="visible" r:id="rId11"/>
    <sheet xmlns:r="http://schemas.openxmlformats.org/officeDocument/2006/relationships" name="10_Q3ゲート保護" sheetId="12" state="visible" r:id="rId12"/>
    <sheet xmlns:r="http://schemas.openxmlformats.org/officeDocument/2006/relationships" name="サマリ" sheetId="13" state="visible" r:id="rId13"/>
    <sheet xmlns:r="http://schemas.openxmlformats.org/officeDocument/2006/relationships" name="変更履歴" sheetId="14" state="visible" r:id="rId14"/>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0.0"/>
    <numFmt numFmtId="165" formatCode="0.00;\-0.00;\-"/>
  </numFmts>
  <fonts count="33">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Noto Sans CJK SC"/>
      <family val="2"/>
      <b val="1"/>
      <sz val="14"/>
    </font>
    <font>
      <name val="Arial"/>
      <charset val="1"/>
      <family val="0"/>
      <color rgb="FF666666"/>
      <sz val="9"/>
    </font>
    <font>
      <name val="Noto Sans CJK SC"/>
      <family val="2"/>
      <color rgb="FF666666"/>
      <sz val="9"/>
    </font>
    <font>
      <name val="Noto Sans CJK SC"/>
      <charset val="1"/>
      <family val="2"/>
      <b val="1"/>
      <sz val="10"/>
    </font>
    <font>
      <name val="Noto Sans CJK SC"/>
      <charset val="1"/>
      <family val="2"/>
      <sz val="10"/>
    </font>
    <font>
      <name val="Arial"/>
      <charset val="1"/>
      <family val="0"/>
      <color rgb="FF0000FF"/>
      <sz val="10"/>
    </font>
    <font>
      <name val="Noto Sans CJK SC"/>
      <family val="2"/>
      <color rgb="FF0000FF"/>
      <sz val="10"/>
    </font>
    <font>
      <name val="Arial"/>
      <charset val="1"/>
      <family val="0"/>
      <sz val="10"/>
    </font>
    <font>
      <name val="Noto Sans CJK SC"/>
      <family val="2"/>
      <sz val="10"/>
    </font>
    <font>
      <name val="Noto Sans CJK SC"/>
      <charset val="1"/>
      <family val="2"/>
      <b val="1"/>
      <color rgb="FFFFFFFF"/>
      <sz val="11"/>
    </font>
    <font>
      <name val="Noto Sans CJK SC"/>
      <charset val="1"/>
      <family val="2"/>
      <color rgb="FF666666"/>
      <sz val="9"/>
    </font>
    <font>
      <name val="Arial"/>
      <charset val="1"/>
      <family val="0"/>
      <b val="1"/>
      <color rgb="FFFFFFFF"/>
      <sz val="11"/>
    </font>
    <font>
      <name val="Arial"/>
      <charset val="1"/>
      <family val="0"/>
      <b val="1"/>
      <sz val="10"/>
    </font>
    <font>
      <name val="Noto Sans CJK SC"/>
      <family val="2"/>
      <b val="1"/>
      <sz val="10"/>
    </font>
    <font>
      <name val="Noto Sans CJK SC"/>
      <family val="2"/>
      <b val="1"/>
      <color rgb="FFFFFFFF"/>
      <sz val="11"/>
    </font>
    <font>
      <name val="Noto Sans CJK SC"/>
      <charset val="1"/>
      <family val="2"/>
      <b val="1"/>
      <sz val="14"/>
    </font>
    <font>
      <b val="1"/>
      <sz val="10"/>
    </font>
    <font>
      <b val="1"/>
      <color rgb="FFFFFFFF"/>
      <sz val="11"/>
    </font>
    <font>
      <sz val="10"/>
    </font>
    <font>
      <b val="1"/>
      <color rgb="FFC00000"/>
      <sz val="10"/>
    </font>
    <font>
      <color rgb="FF666666"/>
      <sz val="9"/>
    </font>
    <font>
      <sz val="9"/>
    </font>
    <font>
      <color rgb="FFC00000"/>
      <sz val="10"/>
    </font>
    <font>
      <b val="1"/>
      <color rgb="FF1F4E79"/>
      <sz val="10"/>
    </font>
    <font>
      <b val="1"/>
      <color rgb="FF666666"/>
    </font>
    <font>
      <b val="1"/>
      <sz val="9"/>
    </font>
    <font>
      <b val="1"/>
      <color rgb="FF1F4E79"/>
      <sz val="11"/>
    </font>
    <font>
      <b val="1"/>
      <color rgb="FFFFFFFF"/>
      <sz val="10"/>
    </font>
  </fonts>
  <fills count="8">
    <fill>
      <patternFill/>
    </fill>
    <fill>
      <patternFill patternType="gray125"/>
    </fill>
    <fill>
      <patternFill patternType="solid">
        <fgColor rgb="FFFFF2CC"/>
        <bgColor rgb="FFEAEAEA"/>
      </patternFill>
    </fill>
    <fill>
      <patternFill patternType="solid">
        <fgColor rgb="FFEAEAEA"/>
        <bgColor rgb="FFFFF2CC"/>
      </patternFill>
    </fill>
    <fill>
      <patternFill patternType="solid">
        <fgColor rgb="FF1F4E79"/>
        <bgColor rgb="FF003366"/>
      </patternFill>
    </fill>
    <fill>
      <patternFill patternType="solid">
        <fgColor rgb="FF1F4E79"/>
      </patternFill>
    </fill>
    <fill>
      <patternFill patternType="solid">
        <fgColor rgb="FFEAEAEA"/>
      </patternFill>
    </fill>
    <fill>
      <patternFill patternType="solid">
        <fgColor rgb="FFFFF2C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6"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1" applyAlignment="1" pivotButton="0" quotePrefix="0" xfId="0">
      <alignment horizontal="general" vertical="bottom"/>
    </xf>
    <xf numFmtId="0" fontId="9" fillId="2" borderId="0" applyAlignment="1" pivotButton="0" quotePrefix="0" xfId="0">
      <alignment horizontal="general" vertical="bottom"/>
    </xf>
    <xf numFmtId="0" fontId="9" fillId="3" borderId="0" applyAlignment="1" pivotButton="0" quotePrefix="0" xfId="0">
      <alignment horizontal="general" vertical="bottom"/>
    </xf>
    <xf numFmtId="0" fontId="12" fillId="0" borderId="0" applyAlignment="1" pivotButton="0" quotePrefix="0" xfId="0">
      <alignment horizontal="general" vertical="bottom"/>
    </xf>
    <xf numFmtId="0" fontId="9" fillId="0" borderId="0" applyAlignment="1" pivotButton="0" quotePrefix="0" xfId="0">
      <alignment horizontal="general" vertical="bottom" wrapText="1"/>
    </xf>
    <xf numFmtId="0" fontId="14" fillId="4" borderId="1" applyAlignment="1" pivotButton="0" quotePrefix="0" xfId="0">
      <alignment horizontal="center" vertical="bottom"/>
    </xf>
    <xf numFmtId="0" fontId="9" fillId="0" borderId="1" applyAlignment="1" pivotButton="0" quotePrefix="0" xfId="0">
      <alignment horizontal="general" vertical="center" wrapText="1"/>
    </xf>
    <xf numFmtId="0" fontId="12" fillId="0" borderId="1" applyAlignment="1" pivotButton="0" quotePrefix="0" xfId="0">
      <alignment horizontal="general" vertical="center" wrapText="1"/>
    </xf>
    <xf numFmtId="0" fontId="15" fillId="0" borderId="0" applyAlignment="1" pivotButton="0" quotePrefix="0" xfId="0">
      <alignment horizontal="general" vertical="bottom"/>
    </xf>
    <xf numFmtId="0" fontId="16" fillId="4" borderId="1" applyAlignment="1" pivotButton="0" quotePrefix="0" xfId="0">
      <alignment horizontal="center" vertical="center" wrapText="1"/>
    </xf>
    <xf numFmtId="0" fontId="14" fillId="4" borderId="1" applyAlignment="1" pivotButton="0" quotePrefix="0" xfId="0">
      <alignment horizontal="center" vertical="center" wrapText="1"/>
    </xf>
    <xf numFmtId="0" fontId="12"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2" borderId="1" applyAlignment="1" pivotButton="0" quotePrefix="0" xfId="0">
      <alignment horizontal="center" vertical="center" wrapText="1"/>
    </xf>
    <xf numFmtId="0" fontId="6" fillId="0" borderId="0" applyAlignment="1" pivotButton="0" quotePrefix="0" xfId="0">
      <alignment horizontal="general" vertical="bottom" wrapText="1"/>
    </xf>
    <xf numFmtId="0" fontId="15" fillId="0" borderId="0" applyAlignment="1" pivotButton="0" quotePrefix="0" xfId="0">
      <alignment horizontal="general" vertical="bottom" wrapText="1"/>
    </xf>
    <xf numFmtId="0" fontId="17" fillId="0" borderId="0" applyAlignment="1" pivotButton="0" quotePrefix="0" xfId="0">
      <alignment horizontal="general" vertical="bottom"/>
    </xf>
    <xf numFmtId="0" fontId="12" fillId="3" borderId="1" applyAlignment="1" pivotButton="0" quotePrefix="0" xfId="0">
      <alignment horizontal="general" vertical="center" wrapText="1"/>
    </xf>
    <xf numFmtId="0" fontId="7" fillId="0" borderId="0" applyAlignment="1" pivotButton="0" quotePrefix="0" xfId="0">
      <alignment horizontal="general" vertical="bottom" wrapText="1"/>
    </xf>
    <xf numFmtId="0" fontId="13" fillId="0" borderId="1" applyAlignment="1" pivotButton="0" quotePrefix="0" xfId="0">
      <alignment horizontal="general" vertical="center" wrapText="1"/>
    </xf>
    <xf numFmtId="0" fontId="12" fillId="0" borderId="0" applyAlignment="1" pivotButton="0" quotePrefix="0" xfId="0">
      <alignment horizontal="general" vertical="bottom" wrapText="1"/>
    </xf>
    <xf numFmtId="0" fontId="12" fillId="0" borderId="0" applyAlignment="1" pivotButton="0" quotePrefix="0" xfId="0">
      <alignment horizontal="general" vertical="bottom"/>
    </xf>
    <xf numFmtId="0" fontId="18" fillId="0" borderId="0" applyAlignment="1" pivotButton="0" quotePrefix="0" xfId="0">
      <alignment horizontal="general" vertical="bottom" wrapText="1"/>
    </xf>
    <xf numFmtId="0" fontId="19" fillId="4" borderId="1" applyAlignment="1" pivotButton="0" quotePrefix="0" xfId="0">
      <alignment horizontal="center" vertical="bottom"/>
    </xf>
    <xf numFmtId="1" fontId="12" fillId="3" borderId="1" applyAlignment="1" pivotButton="0" quotePrefix="0" xfId="0">
      <alignment horizontal="general" vertical="center" wrapText="1"/>
    </xf>
    <xf numFmtId="0" fontId="4" fillId="0" borderId="0" applyAlignment="1" pivotButton="0" quotePrefix="0" xfId="0">
      <alignment horizontal="general" vertical="bottom"/>
    </xf>
    <xf numFmtId="0" fontId="19" fillId="4" borderId="1" applyAlignment="1" pivotButton="0" quotePrefix="0" xfId="0">
      <alignment horizontal="center" vertical="center" wrapText="1"/>
    </xf>
    <xf numFmtId="0" fontId="10" fillId="2" borderId="1" applyAlignment="1" pivotButton="0" quotePrefix="0" xfId="0">
      <alignment horizontal="general" vertical="center" wrapText="1"/>
    </xf>
    <xf numFmtId="0" fontId="18" fillId="0" borderId="0" applyAlignment="1" pivotButton="0" quotePrefix="0" xfId="0">
      <alignment horizontal="general" vertical="bottom"/>
    </xf>
    <xf numFmtId="0" fontId="12" fillId="0" borderId="0" applyAlignment="1" pivotButton="0" quotePrefix="0" xfId="0">
      <alignment horizontal="general" vertical="bottom" wrapText="1"/>
    </xf>
    <xf numFmtId="0" fontId="17" fillId="0" borderId="0" applyAlignment="1" pivotButton="0" quotePrefix="0" xfId="0">
      <alignment horizontal="general" vertical="bottom"/>
    </xf>
    <xf numFmtId="0" fontId="13" fillId="0" borderId="1" applyAlignment="1" pivotButton="0" quotePrefix="0" xfId="0">
      <alignment horizontal="general" vertical="bottom"/>
    </xf>
    <xf numFmtId="1" fontId="12" fillId="3" borderId="1" applyAlignment="1" pivotButton="0" quotePrefix="0" xfId="0">
      <alignment horizontal="center" vertical="bottom"/>
    </xf>
    <xf numFmtId="0" fontId="12" fillId="0" borderId="1" applyAlignment="1" pivotButton="0" quotePrefix="0" xfId="0">
      <alignment horizontal="general" vertical="bottom"/>
    </xf>
    <xf numFmtId="164" fontId="12" fillId="3" borderId="1" applyAlignment="1" pivotButton="0" quotePrefix="0" xfId="0">
      <alignment horizontal="center" vertical="bottom"/>
    </xf>
    <xf numFmtId="0" fontId="20" fillId="0" borderId="0" applyAlignment="1" pivotButton="0" quotePrefix="0" xfId="0">
      <alignment horizontal="general" vertical="bottom"/>
    </xf>
    <xf numFmtId="0" fontId="12" fillId="0" borderId="1" applyAlignment="1" pivotButton="0" quotePrefix="0" xfId="0">
      <alignment horizontal="general" vertical="bottom"/>
    </xf>
    <xf numFmtId="0" fontId="12" fillId="3" borderId="1" applyAlignment="1" pivotButton="0" quotePrefix="0" xfId="0">
      <alignment horizontal="general" vertical="bottom"/>
    </xf>
    <xf numFmtId="165" fontId="12" fillId="3" borderId="1" applyAlignment="1" pivotButton="0" quotePrefix="0" xfId="0">
      <alignment horizontal="general" vertical="bottom"/>
    </xf>
    <xf numFmtId="0" fontId="9" fillId="0" borderId="1" applyAlignment="1" pivotButton="0" quotePrefix="0" xfId="0">
      <alignment horizontal="general" vertical="bottom"/>
    </xf>
    <xf numFmtId="164" fontId="12" fillId="3" borderId="1" applyAlignment="1" pivotButton="0" quotePrefix="0" xfId="0">
      <alignment horizontal="general" vertical="center" wrapText="1"/>
    </xf>
    <xf numFmtId="0" fontId="12"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6"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1" applyAlignment="1" pivotButton="0" quotePrefix="0" xfId="0">
      <alignment horizontal="general" vertical="bottom"/>
    </xf>
    <xf numFmtId="0" fontId="9" fillId="2" borderId="0" applyAlignment="1" pivotButton="0" quotePrefix="0" xfId="0">
      <alignment horizontal="general" vertical="bottom"/>
    </xf>
    <xf numFmtId="0" fontId="9" fillId="3" borderId="0" applyAlignment="1" pivotButton="0" quotePrefix="0" xfId="0">
      <alignment horizontal="general" vertical="bottom"/>
    </xf>
    <xf numFmtId="0" fontId="12" fillId="0" borderId="0" applyAlignment="1" pivotButton="0" quotePrefix="0" xfId="0">
      <alignment horizontal="general" vertical="bottom"/>
    </xf>
    <xf numFmtId="0" fontId="9" fillId="0" borderId="0" applyAlignment="1" pivotButton="0" quotePrefix="0" xfId="0">
      <alignment horizontal="general" vertical="bottom" wrapText="1"/>
    </xf>
    <xf numFmtId="0" fontId="14" fillId="4" borderId="1" applyAlignment="1" pivotButton="0" quotePrefix="0" xfId="0">
      <alignment horizontal="center" vertical="bottom"/>
    </xf>
    <xf numFmtId="0" fontId="9" fillId="0" borderId="1" applyAlignment="1" pivotButton="0" quotePrefix="0" xfId="0">
      <alignment horizontal="general" vertical="center" wrapText="1"/>
    </xf>
    <xf numFmtId="0" fontId="12" fillId="0" borderId="1" applyAlignment="1" pivotButton="0" quotePrefix="0" xfId="0">
      <alignment horizontal="general" vertical="center" wrapText="1"/>
    </xf>
    <xf numFmtId="0" fontId="15" fillId="0" borderId="0" applyAlignment="1" pivotButton="0" quotePrefix="0" xfId="0">
      <alignment horizontal="general" vertical="bottom"/>
    </xf>
    <xf numFmtId="0" fontId="16" fillId="4" borderId="1" applyAlignment="1" pivotButton="0" quotePrefix="0" xfId="0">
      <alignment horizontal="center" vertical="center" wrapText="1"/>
    </xf>
    <xf numFmtId="0" fontId="14" fillId="4" borderId="1" applyAlignment="1" pivotButton="0" quotePrefix="0" xfId="0">
      <alignment horizontal="center" vertical="center" wrapText="1"/>
    </xf>
    <xf numFmtId="0" fontId="12"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2" borderId="1" applyAlignment="1" pivotButton="0" quotePrefix="0" xfId="0">
      <alignment horizontal="center" vertical="center" wrapText="1"/>
    </xf>
    <xf numFmtId="0" fontId="6" fillId="0" borderId="0" applyAlignment="1" pivotButton="0" quotePrefix="0" xfId="0">
      <alignment horizontal="general" vertical="bottom" wrapText="1"/>
    </xf>
    <xf numFmtId="0" fontId="15" fillId="0" borderId="0" applyAlignment="1" pivotButton="0" quotePrefix="0" xfId="0">
      <alignment horizontal="general" vertical="bottom" wrapText="1"/>
    </xf>
    <xf numFmtId="0" fontId="17" fillId="0" borderId="0" applyAlignment="1" pivotButton="0" quotePrefix="0" xfId="0">
      <alignment horizontal="general" vertical="bottom"/>
    </xf>
    <xf numFmtId="0" fontId="12" fillId="3" borderId="1" applyAlignment="1" pivotButton="0" quotePrefix="0" xfId="0">
      <alignment horizontal="general" vertical="center" wrapText="1"/>
    </xf>
    <xf numFmtId="0" fontId="7" fillId="0" borderId="0" applyAlignment="1" pivotButton="0" quotePrefix="0" xfId="0">
      <alignment horizontal="general" vertical="bottom" wrapText="1"/>
    </xf>
    <xf numFmtId="0" fontId="13" fillId="0" borderId="1" applyAlignment="1" pivotButton="0" quotePrefix="0" xfId="0">
      <alignment horizontal="general" vertical="center" wrapText="1"/>
    </xf>
    <xf numFmtId="0" fontId="12" fillId="0" borderId="0" applyAlignment="1" pivotButton="0" quotePrefix="0" xfId="0">
      <alignment horizontal="general" vertical="bottom" wrapText="1"/>
    </xf>
    <xf numFmtId="0" fontId="18" fillId="0" borderId="0" applyAlignment="1" pivotButton="0" quotePrefix="0" xfId="0">
      <alignment horizontal="general" vertical="bottom" wrapText="1"/>
    </xf>
    <xf numFmtId="0" fontId="19" fillId="4" borderId="1" applyAlignment="1" pivotButton="0" quotePrefix="0" xfId="0">
      <alignment horizontal="center" vertical="bottom"/>
    </xf>
    <xf numFmtId="1" fontId="12" fillId="3" borderId="1" applyAlignment="1" pivotButton="0" quotePrefix="0" xfId="0">
      <alignment horizontal="general" vertical="center" wrapText="1"/>
    </xf>
    <xf numFmtId="0" fontId="19" fillId="4" borderId="1" applyAlignment="1" pivotButton="0" quotePrefix="0" xfId="0">
      <alignment horizontal="center" vertical="center" wrapText="1"/>
    </xf>
    <xf numFmtId="0" fontId="10" fillId="2" borderId="1" applyAlignment="1" pivotButton="0" quotePrefix="0" xfId="0">
      <alignment horizontal="general" vertical="center" wrapText="1"/>
    </xf>
    <xf numFmtId="0" fontId="18" fillId="0" borderId="0" applyAlignment="1" pivotButton="0" quotePrefix="0" xfId="0">
      <alignment horizontal="general" vertical="bottom"/>
    </xf>
    <xf numFmtId="0" fontId="13" fillId="0" borderId="1" applyAlignment="1" pivotButton="0" quotePrefix="0" xfId="0">
      <alignment horizontal="general" vertical="bottom"/>
    </xf>
    <xf numFmtId="1" fontId="12" fillId="3" borderId="1" applyAlignment="1" pivotButton="0" quotePrefix="0" xfId="0">
      <alignment horizontal="center" vertical="bottom"/>
    </xf>
    <xf numFmtId="0" fontId="12" fillId="0" borderId="1" applyAlignment="1" pivotButton="0" quotePrefix="0" xfId="0">
      <alignment horizontal="general" vertical="bottom"/>
    </xf>
    <xf numFmtId="164" fontId="12" fillId="3" borderId="1" applyAlignment="1" pivotButton="0" quotePrefix="0" xfId="0">
      <alignment horizontal="center" vertical="bottom"/>
    </xf>
    <xf numFmtId="0" fontId="21" fillId="0" borderId="0" pivotButton="0" quotePrefix="0" xfId="0"/>
    <xf numFmtId="0" fontId="22" fillId="5" borderId="2" applyAlignment="1" pivotButton="0" quotePrefix="0" xfId="0">
      <alignment horizontal="center" vertical="center" wrapText="1"/>
    </xf>
    <xf numFmtId="0" fontId="21" fillId="0" borderId="2" applyAlignment="1" pivotButton="0" quotePrefix="0" xfId="0">
      <alignment horizontal="center" vertical="center"/>
    </xf>
    <xf numFmtId="0" fontId="23" fillId="0" borderId="2" applyAlignment="1" pivotButton="0" quotePrefix="0" xfId="0">
      <alignment horizontal="left" vertical="center"/>
    </xf>
    <xf numFmtId="0" fontId="23" fillId="6" borderId="2" applyAlignment="1" pivotButton="0" quotePrefix="0" xfId="0">
      <alignment horizontal="center" vertical="center"/>
    </xf>
    <xf numFmtId="0" fontId="24" fillId="6" borderId="2" applyAlignment="1" pivotButton="0" quotePrefix="0" xfId="0">
      <alignment horizontal="center" vertical="center"/>
    </xf>
    <xf numFmtId="0" fontId="25" fillId="0" borderId="0" applyAlignment="1" pivotButton="0" quotePrefix="0" xfId="0">
      <alignment vertical="top" wrapText="1"/>
    </xf>
    <xf numFmtId="0" fontId="20" fillId="0" borderId="0" applyAlignment="1" pivotButton="0" quotePrefix="0" xfId="0">
      <alignment horizontal="general" vertical="bottom"/>
    </xf>
    <xf numFmtId="0" fontId="12" fillId="3" borderId="1" applyAlignment="1" pivotButton="0" quotePrefix="0" xfId="0">
      <alignment horizontal="general" vertical="bottom"/>
    </xf>
    <xf numFmtId="165" fontId="12" fillId="3" borderId="1" applyAlignment="1" pivotButton="0" quotePrefix="0" xfId="0">
      <alignment horizontal="general" vertical="bottom"/>
    </xf>
    <xf numFmtId="0" fontId="9" fillId="0" borderId="1" applyAlignment="1" pivotButton="0" quotePrefix="0" xfId="0">
      <alignment horizontal="general" vertical="bottom"/>
    </xf>
    <xf numFmtId="164" fontId="12" fillId="3" borderId="1" applyAlignment="1" pivotButton="0" quotePrefix="0" xfId="0">
      <alignment horizontal="general" vertical="center" wrapText="1"/>
    </xf>
    <xf numFmtId="0" fontId="12"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23" fillId="0" borderId="1" applyAlignment="1" pivotButton="0" quotePrefix="0" xfId="0">
      <alignment vertical="top" wrapText="1"/>
    </xf>
    <xf numFmtId="0" fontId="9" fillId="0" borderId="1" applyAlignment="1" pivotButton="0" quotePrefix="0" xfId="0">
      <alignment vertical="center" wrapText="1"/>
    </xf>
    <xf numFmtId="0" fontId="12" fillId="0" borderId="1" applyAlignment="1" pivotButton="0" quotePrefix="0" xfId="0">
      <alignment vertical="center" wrapText="1"/>
    </xf>
    <xf numFmtId="0" fontId="23" fillId="0" borderId="2" applyAlignment="1" pivotButton="0" quotePrefix="0" xfId="0">
      <alignment horizontal="center" vertical="center" wrapText="1"/>
    </xf>
    <xf numFmtId="0" fontId="23" fillId="0" borderId="2" applyAlignment="1" pivotButton="0" quotePrefix="0" xfId="0">
      <alignment horizontal="left" vertical="center" wrapText="1"/>
    </xf>
    <xf numFmtId="0" fontId="23" fillId="6" borderId="2" applyAlignment="1" pivotButton="0" quotePrefix="0" xfId="0">
      <alignment horizontal="left" vertical="center" wrapText="1"/>
    </xf>
    <xf numFmtId="0" fontId="24" fillId="0" borderId="0" applyAlignment="1" pivotButton="0" quotePrefix="0" xfId="0">
      <alignment vertical="top" wrapText="1"/>
    </xf>
    <xf numFmtId="0" fontId="26" fillId="2" borderId="1" applyAlignment="1" pivotButton="0" quotePrefix="0" xfId="0">
      <alignment vertical="center" wrapText="1"/>
    </xf>
    <xf numFmtId="0" fontId="23" fillId="0" borderId="2" applyAlignment="1" pivotButton="0" quotePrefix="0" xfId="0">
      <alignment vertical="top" wrapText="1"/>
    </xf>
    <xf numFmtId="0" fontId="28" fillId="0" borderId="0" applyAlignment="1" pivotButton="0" quotePrefix="0" xfId="0">
      <alignment vertical="top" wrapText="1"/>
    </xf>
    <xf numFmtId="0" fontId="23" fillId="6" borderId="2" applyAlignment="1" pivotButton="0" quotePrefix="0" xfId="0">
      <alignment horizontal="center" vertical="center" wrapText="1"/>
    </xf>
    <xf numFmtId="0" fontId="24" fillId="2" borderId="1" applyAlignment="1" pivotButton="0" quotePrefix="0" xfId="0">
      <alignment vertical="center" wrapText="1"/>
    </xf>
    <xf numFmtId="0" fontId="30" fillId="0" borderId="2" applyAlignment="1" pivotButton="0" quotePrefix="0" xfId="0">
      <alignment horizontal="center" vertical="center"/>
    </xf>
    <xf numFmtId="0" fontId="26" fillId="7" borderId="2" applyAlignment="1" pivotButton="0" quotePrefix="0" xfId="0">
      <alignment horizontal="center" vertical="center"/>
    </xf>
    <xf numFmtId="0" fontId="26" fillId="6" borderId="2" applyAlignment="1" pivotButton="0" quotePrefix="0" xfId="0">
      <alignment horizontal="center" vertical="center"/>
    </xf>
    <xf numFmtId="0" fontId="31" fillId="0" borderId="0" pivotButton="0" quotePrefix="0" xfId="0"/>
    <xf numFmtId="0" fontId="32" fillId="5" borderId="2" applyAlignment="1" pivotButton="0" quotePrefix="0" xfId="0">
      <alignment horizontal="center" vertical="center" wrapText="1"/>
    </xf>
    <xf numFmtId="0" fontId="26" fillId="0" borderId="2" applyAlignment="1" pivotButton="0" quotePrefix="0" xfId="0">
      <alignment horizontal="left" vertical="center"/>
    </xf>
    <xf numFmtId="0" fontId="26" fillId="0" borderId="2" applyAlignment="1" pivotButton="0" quotePrefix="0" xfId="0">
      <alignment horizontal="center" vertical="center"/>
    </xf>
    <xf numFmtId="0" fontId="26" fillId="6" borderId="2" applyAlignment="1" pivotButton="0" quotePrefix="0" xfId="0">
      <alignment horizontal="center" vertical="center"/>
    </xf>
    <xf numFmtId="0" fontId="26" fillId="0" borderId="2" applyAlignment="1" pivotButton="0" quotePrefix="0" xfId="0">
      <alignment horizontal="left" vertical="center" wrapText="1"/>
    </xf>
    <xf numFmtId="0" fontId="26" fillId="7" borderId="2"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AEAE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2:D4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0" min="1" max="1"/>
    <col width="26" customWidth="1" style="50" min="2" max="2"/>
    <col width="44" customWidth="1" style="50" min="3" max="3"/>
    <col width="20" customWidth="1" style="50" min="4" max="4"/>
    <col width="14" customWidth="1" style="50" min="5" max="6"/>
    <col width="30" customWidth="1" style="50" min="7" max="7"/>
  </cols>
  <sheetData>
    <row r="2" ht="21" customHeight="1" s="51">
      <c r="B2" s="52" t="inlineStr">
        <is>
          <t>MizuniGoal Power Controller v2.2.1　試験記録シート</t>
        </is>
      </c>
    </row>
    <row r="3" ht="15" customHeight="1" s="51">
      <c r="B3" s="53" t="inlineStr">
        <is>
          <t>7S4P LiPo 2並列ホットスワップ電源基板／Q3 ゲート保護（R51 / D12）追加版</t>
        </is>
      </c>
    </row>
    <row r="5" ht="15" customHeight="1" s="51">
      <c r="B5" s="54" t="inlineStr">
        <is>
          <t>基板情報</t>
        </is>
      </c>
    </row>
    <row r="6" ht="15" customHeight="1" s="51">
      <c r="B6" s="55" t="inlineStr">
        <is>
          <t>基板 No.</t>
        </is>
      </c>
      <c r="C6" s="113" t="inlineStr">
        <is>
          <t>3 号機（v2.2.1 初号基板。1 号機は 2026-10-08 に Q3 破壊、2 号機は v2.1.1 のまま保持）</t>
        </is>
      </c>
    </row>
    <row r="7" ht="15" customHeight="1" s="51">
      <c r="B7" s="55" t="inlineStr">
        <is>
          <t>実装日</t>
        </is>
      </c>
      <c r="C7" s="56" t="n"/>
    </row>
    <row r="8" ht="15" customHeight="1" s="51">
      <c r="B8" s="55" t="inlineStr">
        <is>
          <t>実装方法</t>
        </is>
      </c>
      <c r="C8" s="56" t="inlineStr">
        <is>
          <t>PCBA / 手実装</t>
        </is>
      </c>
    </row>
    <row r="9" ht="15" customHeight="1" s="51">
      <c r="B9" s="55" t="inlineStr">
        <is>
          <t>銅厚</t>
        </is>
      </c>
      <c r="C9" s="56" t="inlineStr">
        <is>
          <t>1oz</t>
        </is>
      </c>
    </row>
    <row r="10" ht="15" customHeight="1" s="51">
      <c r="B10" s="55" t="inlineStr">
        <is>
          <t>表面仕上げ</t>
        </is>
      </c>
      <c r="C10" s="56" t="inlineStr">
        <is>
          <t>ENIG</t>
        </is>
      </c>
    </row>
    <row r="11" ht="15" customHeight="1" s="51">
      <c r="B11" s="55" t="inlineStr">
        <is>
          <t>試験実施者</t>
        </is>
      </c>
      <c r="C11" s="56" t="n"/>
    </row>
    <row r="12" ht="15" customHeight="1" s="51">
      <c r="B12" s="55" t="inlineStr">
        <is>
          <t>試験実施日</t>
        </is>
      </c>
      <c r="C12" s="56" t="n"/>
    </row>
    <row r="14" ht="15" customHeight="1" s="51">
      <c r="B14" s="54" t="inlineStr">
        <is>
          <t>凡例</t>
        </is>
      </c>
    </row>
    <row r="15" ht="15" customHeight="1" s="51">
      <c r="B15" s="57" t="inlineStr">
        <is>
          <t>黄色セル</t>
        </is>
      </c>
      <c r="C15" s="55" t="inlineStr">
        <is>
          <t>記入欄。ここだけ入力してください</t>
        </is>
      </c>
    </row>
    <row r="16" ht="15" customHeight="1" s="51">
      <c r="B16" s="58" t="inlineStr">
        <is>
          <t>灰色セル</t>
        </is>
      </c>
      <c r="C16" s="55" t="inlineStr">
        <is>
          <t>自動計算。数式が入っているので編集しないでください</t>
        </is>
      </c>
    </row>
    <row r="17" ht="15" customHeight="1" s="51">
      <c r="B17" s="55" t="inlineStr">
        <is>
          <t>判定列</t>
        </is>
      </c>
      <c r="C17" s="59" t="inlineStr">
        <is>
          <t>OK / NG / 未実施 をドロップダウンから選択</t>
        </is>
      </c>
    </row>
    <row r="19" ht="15" customHeight="1" s="51">
      <c r="B19" s="54" t="inlineStr">
        <is>
          <t>安全上の注意</t>
        </is>
      </c>
    </row>
    <row r="20" ht="15" customHeight="1" s="51">
      <c r="B20" s="55" t="inlineStr">
        <is>
          <t>・7S LiPo は短絡時に数百 A を供給します。フェーズ2 までは可変電源（電流制限付き）で確認し、パック接続はフェーズ3 以降にしてください。</t>
        </is>
      </c>
    </row>
    <row r="21" ht="15" customHeight="1" s="51">
      <c r="B21" s="55" t="inlineStr">
        <is>
          <t>・フェーズ3 の 25A ストール試験では消火器を手元に置き、目を離さないこと。初回は 15A 程度から段階的に上げてください。</t>
        </is>
      </c>
    </row>
    <row r="22" ht="15" customHeight="1" s="51">
      <c r="B22" s="55" t="inlineStr">
        <is>
          <t>・v2.1.1 ではチョッパが fail-off 構成（Q5 による PNP 反転段）になったため、v2.0.0 で行っていた「R10 を外してチョッパを無効化する」手順は不要です。</t>
        </is>
      </c>
    </row>
    <row r="23" ht="15" customHeight="1" s="51">
      <c r="B23" s="55" t="inlineStr">
        <is>
          <t>・R11 は 27Ω から 200Ω（TPAN0263F200RK9）に変更され、チョッパ動作時の消費は 38.4W から 5.2W になりました。</t>
        </is>
      </c>
    </row>
    <row r="24" ht="15" customHeight="1" s="51">
      <c r="B24" s="60" t="inlineStr">
        <is>
          <t>・R11 の実効熱抵抗は 18℃/W 前後（v2.1.1 実測）。200Ω の連続導通では周囲 65℃ で平衡 158℃ となり、最高使用温度 150℃ を超えます。試験時は 120℃ を上限に中止してください。</t>
        </is>
      </c>
    </row>
    <row r="25" ht="15" customHeight="1" s="51">
      <c r="B25" s="55" t="inlineStr">
        <is>
          <t>・フェーズ8 の LED 線短絡試験（8-7）は意図的な短絡です。必ず電流制限付き電源で実施してください。</t>
        </is>
      </c>
    </row>
    <row r="26" ht="100.5" customHeight="1" s="51">
      <c r="B26" s="60" t="inlineStr">
        <is>
          <t>・フェーズ1 以降は、1-8 の待機電流測定を除き、非常停止ボタンを解除（スイッチ ON）した状態で実施してください。J4 の接点は NC で、押下中は EN 経路が開いて Vout が出ません。</t>
        </is>
      </c>
    </row>
    <row r="27" ht="44" customHeight="1" s="51">
      <c r="B27" s="108" t="inlineStr">
        <is>
          <t>・【2026-10-08 追加】出力（Vout − GND）を短絡させないこと。1 号機はこれで Q3 のゲート酸化膜が破壊されました。電源の電流制限（4A）は無関係で、上流コンデンサの電荷が原因です。MDDS30 の端子付近でプローブを扱う作業は、必ず電源を落としてから行ってください。</t>
        </is>
      </c>
    </row>
    <row r="28" ht="15" customHeight="1" s="51">
      <c r="B28" s="54" t="inlineStr">
        <is>
          <t>必要機材</t>
        </is>
      </c>
    </row>
    <row r="29" ht="29.25" customHeight="1" s="51">
      <c r="B29" s="61" t="inlineStr">
        <is>
          <t>機材</t>
        </is>
      </c>
      <c r="C29" s="61" t="inlineStr">
        <is>
          <t>用途</t>
        </is>
      </c>
      <c r="D29" s="61" t="inlineStr">
        <is>
          <t>必須度</t>
        </is>
      </c>
    </row>
    <row r="30" ht="29.25" customHeight="1" s="51">
      <c r="B30" s="62" t="inlineStr">
        <is>
          <t>オシロスコープ（2ch 以上）</t>
        </is>
      </c>
      <c r="C30" s="62" t="inlineStr">
        <is>
          <t>起動波形、チョッパ動作、回生プロファイル、リプル観測</t>
        </is>
      </c>
      <c r="D30" s="62" t="inlineStr">
        <is>
          <t>必須</t>
        </is>
      </c>
    </row>
    <row r="31" ht="15" customHeight="1" s="51">
      <c r="B31" s="62" t="inlineStr">
        <is>
          <t>プローブ 2 本＋グランドスプリング</t>
        </is>
      </c>
      <c r="C31" s="63" t="inlineStr">
        <is>
          <t>TP 隣接の GND を活かすため</t>
        </is>
      </c>
      <c r="D31" s="62" t="inlineStr">
        <is>
          <t>必須</t>
        </is>
      </c>
    </row>
    <row r="32" ht="29.25" customHeight="1" s="51">
      <c r="B32" s="62" t="inlineStr">
        <is>
          <t>デジタルマルチメータ</t>
        </is>
      </c>
      <c r="C32" s="62" t="inlineStr">
        <is>
          <t>電圧・抵抗の静的確認</t>
        </is>
      </c>
      <c r="D32" s="62" t="inlineStr">
        <is>
          <t>必須</t>
        </is>
      </c>
    </row>
    <row r="33" ht="15" customHeight="1" s="51">
      <c r="B33" s="63" t="inlineStr">
        <is>
          <t>2ch 熱電対温度計（K型・細線プローブ2本）</t>
        </is>
      </c>
      <c r="C33" s="63" t="inlineStr">
        <is>
          <t>Q1 と TH1 の温度差</t>
        </is>
      </c>
      <c r="D33" s="62" t="inlineStr">
        <is>
          <t>必須</t>
        </is>
      </c>
    </row>
    <row r="34" ht="29.25" customHeight="1" s="51">
      <c r="B34" s="62" t="inlineStr">
        <is>
          <t>サーマルカメラ</t>
        </is>
      </c>
      <c r="C34" s="63" t="inlineStr">
        <is>
          <t>R11 のフランジ温度、基板上の熱の広がり</t>
        </is>
      </c>
      <c r="D34" s="62" t="inlineStr">
        <is>
          <t>必須</t>
        </is>
      </c>
    </row>
    <row r="35" ht="29.25" customHeight="1" s="51">
      <c r="B35" s="63" t="inlineStr">
        <is>
          <t>LCR メータ（100Hz 測定が可能なもの）</t>
        </is>
      </c>
      <c r="C35" s="63" t="inlineStr">
        <is>
          <t>MDDS30 の入力容量測定。1kHz では大容量電解を測れません</t>
        </is>
      </c>
      <c r="D35" s="62" t="inlineStr">
        <is>
          <t>必須</t>
        </is>
      </c>
    </row>
    <row r="36" ht="15" customHeight="1" s="51">
      <c r="B36" s="62" t="inlineStr">
        <is>
          <t>可変電源（0〜35V、3A 程度、電流制限付き）</t>
        </is>
      </c>
      <c r="C36" s="62" t="inlineStr">
        <is>
          <t>低電圧での段階確認、短絡試験</t>
        </is>
      </c>
      <c r="D36" s="62" t="inlineStr">
        <is>
          <t>必須</t>
        </is>
      </c>
    </row>
    <row r="37" ht="15" customHeight="1" s="51">
      <c r="B37" s="62" t="inlineStr">
        <is>
          <t>クランプメータ（30A 以上）</t>
        </is>
      </c>
      <c r="C37" s="62" t="inlineStr">
        <is>
          <t>ストール電流の実測</t>
        </is>
      </c>
      <c r="D37" s="62" t="inlineStr">
        <is>
          <t>必須</t>
        </is>
      </c>
    </row>
    <row r="38" ht="15" customHeight="1" s="51">
      <c r="B38" s="62" t="inlineStr">
        <is>
          <t>ヒートガン／ドライヤー</t>
        </is>
      </c>
      <c r="C38" s="63" t="inlineStr">
        <is>
          <t>TH1 の加熱試験</t>
        </is>
      </c>
      <c r="D38" s="62" t="inlineStr">
        <is>
          <t>必須</t>
        </is>
      </c>
    </row>
    <row r="39" ht="15" customHeight="1" s="51">
      <c r="B39" s="62" t="inlineStr">
        <is>
          <t>温度計</t>
        </is>
      </c>
      <c r="C39" s="62" t="inlineStr">
        <is>
          <t>筐体内周囲温度の実測</t>
        </is>
      </c>
      <c r="D39" s="62" t="inlineStr">
        <is>
          <t>必須</t>
        </is>
      </c>
    </row>
    <row r="40" ht="15" customHeight="1" s="51">
      <c r="B40" s="62" t="inlineStr">
        <is>
          <t>ルーペ（8〜10倍、LED付）</t>
        </is>
      </c>
      <c r="C40" s="62" t="inlineStr">
        <is>
          <t>実装状態の確認</t>
        </is>
      </c>
      <c r="D40" s="62" t="inlineStr">
        <is>
          <t>必須</t>
        </is>
      </c>
    </row>
    <row r="41">
      <c r="B41" s="62" t="inlineStr">
        <is>
          <t>電子負荷または抵抗負荷</t>
        </is>
      </c>
      <c r="C41" s="62" t="inlineStr">
        <is>
          <t>段階的な負荷試験</t>
        </is>
      </c>
      <c r="D41" s="62" t="inlineStr">
        <is>
          <t>あれば有用</t>
        </is>
      </c>
    </row>
  </sheetData>
  <mergeCells count="1">
    <mergeCell ref="B27:D2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I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50" min="1" max="1"/>
    <col width="20" customWidth="1" style="50" min="2" max="2"/>
    <col width="34" customWidth="1" style="50" min="3" max="3"/>
    <col width="16" customWidth="1" style="50" min="4" max="4"/>
    <col width="26" customWidth="1" style="50" min="5" max="5"/>
    <col width="7" customWidth="1" style="50" min="6" max="6"/>
    <col width="12" customWidth="1" style="50" min="7" max="7"/>
    <col width="9" customWidth="1" style="50" min="8" max="8"/>
    <col width="26" customWidth="1" style="50" min="9" max="9"/>
  </cols>
  <sheetData>
    <row r="1" ht="21" customHeight="1" s="51">
      <c r="A1" s="52" t="inlineStr">
        <is>
          <t>0_通電前確認</t>
        </is>
      </c>
    </row>
    <row r="2" ht="13.5" customHeight="1" s="51">
      <c r="A2" s="64" t="inlineStr">
        <is>
          <t>通電前に必ず実施。ここで異常があれば通電しないこと。0-7 〜 0-11 は v2.1.1 で追加した項目です。
※ 0-12 / 0-13 は 2026-10-08 の Q3 破壊を受けて v2.2.1 で追加した R51 / D12 の実装確認です。</t>
        </is>
      </c>
    </row>
    <row r="4" ht="30" customHeight="1" s="51">
      <c r="A4" s="65" t="inlineStr">
        <is>
          <t>No.</t>
        </is>
      </c>
      <c r="B4" s="66" t="inlineStr">
        <is>
          <t>項目</t>
        </is>
      </c>
      <c r="C4" s="66" t="inlineStr">
        <is>
          <t>手順・条件</t>
        </is>
      </c>
      <c r="D4" s="66" t="inlineStr">
        <is>
          <t>測定点</t>
        </is>
      </c>
      <c r="E4" s="66" t="inlineStr">
        <is>
          <t>設計値・判定基準</t>
        </is>
      </c>
      <c r="F4" s="66" t="inlineStr">
        <is>
          <t>単位</t>
        </is>
      </c>
      <c r="G4" s="66" t="inlineStr">
        <is>
          <t>実測値</t>
        </is>
      </c>
      <c r="H4" s="66" t="inlineStr">
        <is>
          <t>判定</t>
        </is>
      </c>
      <c r="I4" s="66" t="inlineStr">
        <is>
          <t>備考</t>
        </is>
      </c>
    </row>
    <row r="5" ht="30" customHeight="1" s="51">
      <c r="A5" s="67" t="inlineStr">
        <is>
          <t>0-1</t>
        </is>
      </c>
      <c r="B5" s="62" t="inlineStr">
        <is>
          <t>目視確認</t>
        </is>
      </c>
      <c r="C5" s="62" t="inlineStr">
        <is>
          <t>ルーペで全部品を確認</t>
        </is>
      </c>
      <c r="D5" s="68" t="inlineStr">
        <is>
          <t>基板全体</t>
        </is>
      </c>
      <c r="E5" s="62" t="inlineStr">
        <is>
          <t>ブリッジ・未はんだ・欠品・向き違いが無いこと</t>
        </is>
      </c>
      <c r="F5" s="67" t="inlineStr">
        <is>
          <t>—</t>
        </is>
      </c>
      <c r="G5" s="69" t="n"/>
      <c r="H5" s="69" t="n"/>
      <c r="I5" s="69" t="n"/>
    </row>
    <row r="6" ht="45.75" customHeight="1" s="51">
      <c r="A6" s="67" t="inlineStr">
        <is>
          <t>0-2</t>
        </is>
      </c>
      <c r="B6" s="62" t="inlineStr">
        <is>
          <t>短絡確認</t>
        </is>
      </c>
      <c r="C6" s="63" t="inlineStr">
        <is>
          <t>DMM の抵抗レンジ</t>
        </is>
      </c>
      <c r="D6" s="67" t="inlineStr">
        <is>
          <t>J1 の +/− 間</t>
        </is>
      </c>
      <c r="E6" s="62" t="inlineStr">
        <is>
          <t>数百Ω以上。C5 / C7 の充電で表示が上昇し続けること（数Ωで止まる場合は短絡）</t>
        </is>
      </c>
      <c r="F6" s="67" t="inlineStr">
        <is>
          <t>Ω</t>
        </is>
      </c>
      <c r="G6" s="69" t="n"/>
      <c r="H6" s="69" t="n"/>
      <c r="I6" s="69" t="n"/>
    </row>
    <row r="7" ht="45.75" customHeight="1" s="51">
      <c r="A7" s="67" t="inlineStr">
        <is>
          <t>0-3</t>
        </is>
      </c>
      <c r="B7" s="62" t="inlineStr">
        <is>
          <t>短絡確認</t>
        </is>
      </c>
      <c r="C7" s="62" t="inlineStr">
        <is>
          <t>同上</t>
        </is>
      </c>
      <c r="D7" s="67" t="inlineStr">
        <is>
          <t>J2 の +/− 間</t>
        </is>
      </c>
      <c r="E7" s="62" t="inlineStr">
        <is>
          <t>同上</t>
        </is>
      </c>
      <c r="F7" s="67" t="inlineStr">
        <is>
          <t>Ω</t>
        </is>
      </c>
      <c r="G7" s="69" t="n"/>
      <c r="H7" s="69" t="n"/>
      <c r="I7" s="69" t="n"/>
    </row>
    <row r="8" ht="45.75" customHeight="1" s="51">
      <c r="A8" s="67" t="inlineStr">
        <is>
          <t>0-4</t>
        </is>
      </c>
      <c r="B8" s="62" t="inlineStr">
        <is>
          <t>短絡確認</t>
        </is>
      </c>
      <c r="C8" s="62" t="inlineStr">
        <is>
          <t>同上</t>
        </is>
      </c>
      <c r="D8" s="67" t="inlineStr">
        <is>
          <t>J3 の +/− 間</t>
        </is>
      </c>
      <c r="E8" s="62" t="inlineStr">
        <is>
          <t>同上</t>
        </is>
      </c>
      <c r="F8" s="67" t="inlineStr">
        <is>
          <t>Ω</t>
        </is>
      </c>
      <c r="G8" s="69" t="n"/>
      <c r="H8" s="69" t="n"/>
      <c r="I8" s="69" t="n"/>
    </row>
    <row r="9" ht="30" customHeight="1" s="51">
      <c r="A9" s="67" t="inlineStr">
        <is>
          <t>0-5</t>
        </is>
      </c>
      <c r="B9" s="62" t="inlineStr">
        <is>
          <t>導通確認</t>
        </is>
      </c>
      <c r="C9" s="63" t="inlineStr">
        <is>
          <t>DMM のダイオードレンジ</t>
        </is>
      </c>
      <c r="D9" s="67" t="inlineStr">
        <is>
          <t>TP10→TP4</t>
        </is>
      </c>
      <c r="E9" s="63" t="inlineStr">
        <is>
          <t>Q3 ボディダイオード方向で導通（約 0.5V）</t>
        </is>
      </c>
      <c r="F9" s="67" t="inlineStr">
        <is>
          <t>V</t>
        </is>
      </c>
      <c r="G9" s="69" t="n"/>
      <c r="H9" s="69" t="n"/>
      <c r="I9" s="69" t="n"/>
    </row>
    <row r="10" ht="30" customHeight="1" s="51">
      <c r="A10" s="67" t="inlineStr">
        <is>
          <t>0-6</t>
        </is>
      </c>
      <c r="B10" s="62" t="inlineStr">
        <is>
          <t>ビア確認</t>
        </is>
      </c>
      <c r="C10" s="62" t="inlineStr">
        <is>
          <t>基板を透かして裏面を確認</t>
        </is>
      </c>
      <c r="D10" s="67" t="inlineStr">
        <is>
          <t>Q1/Q2/Q3 裏面</t>
        </is>
      </c>
      <c r="E10" s="62" t="inlineStr">
        <is>
          <t>はんだの染み出しが無いこと（テンティング成立）</t>
        </is>
      </c>
      <c r="F10" s="67" t="inlineStr">
        <is>
          <t>—</t>
        </is>
      </c>
      <c r="G10" s="69" t="n"/>
      <c r="H10" s="69" t="n"/>
      <c r="I10" s="69" t="n"/>
    </row>
    <row r="11" ht="45.75" customHeight="1" s="51">
      <c r="A11" s="67" t="inlineStr">
        <is>
          <t>0-7</t>
        </is>
      </c>
      <c r="B11" s="63" t="inlineStr">
        <is>
          <t>VREF バイアス経路</t>
        </is>
      </c>
      <c r="C11" s="63" t="inlineStr">
        <is>
          <t>DMM の抵抗レンジ（無通電）</t>
        </is>
      </c>
      <c r="D11" s="67" t="inlineStr">
        <is>
          <t>TP8 − TP11</t>
        </is>
      </c>
      <c r="E11" s="63" t="inlineStr">
        <is>
          <t>6.8kΩ 前後（R20 が 12V レールと VREF の間にあること）。C13 / C17 の充電で表示が安定するまで数秒かかるので、安定後の値を読む</t>
        </is>
      </c>
      <c r="F11" s="67" t="inlineStr">
        <is>
          <t>kΩ</t>
        </is>
      </c>
      <c r="G11" s="69" t="n"/>
      <c r="H11" s="69" t="n"/>
      <c r="I11" s="69" t="n"/>
    </row>
    <row r="12" ht="45.75" customHeight="1" s="51">
      <c r="A12" s="67" t="inlineStr">
        <is>
          <t>0-8</t>
        </is>
      </c>
      <c r="B12" s="62" t="inlineStr">
        <is>
          <t>分圧ノードの分離</t>
        </is>
      </c>
      <c r="C12" s="62" t="inlineStr">
        <is>
          <t>同上</t>
        </is>
      </c>
      <c r="D12" s="67" t="inlineStr">
        <is>
          <t>TP15 − TP11</t>
        </is>
      </c>
      <c r="E12" s="63" t="inlineStr">
        <is>
          <t>OL、または表示が上昇し続けること。6.8kΩ 前後で安定したら R20 の接続先が誤っている</t>
        </is>
      </c>
      <c r="F12" s="67" t="inlineStr">
        <is>
          <t>—</t>
        </is>
      </c>
      <c r="G12" s="69" t="n"/>
      <c r="H12" s="69" t="n"/>
      <c r="I12" s="69" t="n"/>
    </row>
    <row r="13" ht="45.75" customHeight="1" s="51">
      <c r="A13" s="67" t="inlineStr">
        <is>
          <t>0-9</t>
        </is>
      </c>
      <c r="B13" s="63" t="inlineStr">
        <is>
          <t>F3 の導通</t>
        </is>
      </c>
      <c r="C13" s="62" t="inlineStr">
        <is>
          <t>同上</t>
        </is>
      </c>
      <c r="D13" s="67" t="inlineStr">
        <is>
          <t>J3 の + 端子 − J4 pin1</t>
        </is>
      </c>
      <c r="E13" s="63" t="inlineStr">
        <is>
          <t>1.6〜15Ω（PPTC の正常時抵抗）。C7 / C11 の充電の影響を受けるので、安定後の値を読む</t>
        </is>
      </c>
      <c r="F13" s="67" t="inlineStr">
        <is>
          <t>Ω</t>
        </is>
      </c>
      <c r="G13" s="69" t="n"/>
      <c r="H13" s="69" t="n"/>
      <c r="I13" s="69" t="n"/>
    </row>
    <row r="14" ht="30" customHeight="1" s="51">
      <c r="A14" s="67" t="inlineStr">
        <is>
          <t>0-10</t>
        </is>
      </c>
      <c r="B14" s="63" t="inlineStr">
        <is>
          <t>J4 のピン配置</t>
        </is>
      </c>
      <c r="C14" s="62" t="inlineStr">
        <is>
          <t>基板とコネクタを目視・導通確認</t>
        </is>
      </c>
      <c r="D14" s="67" t="inlineStr">
        <is>
          <t>J4</t>
        </is>
      </c>
      <c r="E14" s="63" t="inlineStr">
        <is>
          <t>pin1 Vout_after_PPTC / pin2 GND / pin3 EN_1 側 / pin4 EN_2 側</t>
        </is>
      </c>
      <c r="F14" s="67" t="inlineStr">
        <is>
          <t>—</t>
        </is>
      </c>
      <c r="G14" s="69" t="n"/>
      <c r="H14" s="69" t="n"/>
      <c r="I14" s="69" t="n"/>
    </row>
    <row r="15" ht="30" customHeight="1" s="51">
      <c r="A15" s="67" t="inlineStr">
        <is>
          <t>0-11</t>
        </is>
      </c>
      <c r="B15" s="63" t="inlineStr">
        <is>
          <t>Q4 ゲートプルダウン</t>
        </is>
      </c>
      <c r="C15" s="63" t="inlineStr">
        <is>
          <t>DMM の抵抗レンジ（無通電）</t>
        </is>
      </c>
      <c r="D15" s="67" t="inlineStr">
        <is>
          <t>TP9 − TP12</t>
        </is>
      </c>
      <c r="E15" s="63" t="inlineStr">
        <is>
          <t>100kΩ 前後（R13 が実装されていること）</t>
        </is>
      </c>
      <c r="F15" s="67" t="inlineStr">
        <is>
          <t>kΩ</t>
        </is>
      </c>
      <c r="G15" s="69" t="n"/>
      <c r="H15" s="69" t="n"/>
      <c r="I15" s="69" t="n"/>
    </row>
    <row r="16">
      <c r="A16" s="67" t="inlineStr">
        <is>
          <t>0-12</t>
        </is>
      </c>
      <c r="B16" s="63" t="inlineStr">
        <is>
          <t>R51 の実装・値</t>
        </is>
      </c>
      <c r="C16" s="63" t="inlineStr">
        <is>
          <t>DMM の抵抗レンジ（無通電）</t>
        </is>
      </c>
      <c r="D16" s="67" t="inlineStr">
        <is>
          <t>TP5 − IC3.10</t>
        </is>
      </c>
      <c r="E16" s="63" t="inlineStr">
        <is>
          <t>100Ω ±5%（C22775）。★ v2.2.1 で追加。欠けると D12 が C9 ∥ C15 の 44nF を直接受け、短絡時に自身が焼損する</t>
        </is>
      </c>
      <c r="F16" s="67" t="inlineStr">
        <is>
          <t>Ω</t>
        </is>
      </c>
      <c r="G16" s="69" t="n"/>
      <c r="H16" s="69" t="n"/>
      <c r="I16" s="69" t="n"/>
    </row>
    <row r="17" ht="476.25" customHeight="1" s="51">
      <c r="A17" s="67" t="inlineStr">
        <is>
          <t>0-13</t>
        </is>
      </c>
      <c r="B17" s="63" t="inlineStr">
        <is>
          <t>D12 の向きと健全性</t>
        </is>
      </c>
      <c r="C17" s="63" t="inlineStr">
        <is>
          <t>DMM のダイオードレンジ（無通電）</t>
        </is>
      </c>
      <c r="D17" s="67" t="inlineStr">
        <is>
          <t>TP5 − TP10</t>
        </is>
      </c>
      <c r="E17" s="63" t="inlineStr">
        <is>
          <t>TP5 を ＋ にして OL、逆向きで 0.6〜0.9V。★ 向きが逆だと Vgs 12V で順方向導通し、Q3 が一切 ON しない</t>
        </is>
      </c>
      <c r="F17" s="67" t="inlineStr">
        <is>
          <t>V</t>
        </is>
      </c>
      <c r="G17" s="69" t="n"/>
      <c r="H17" s="69" t="n"/>
      <c r="I17" s="69" t="n"/>
    </row>
    <row r="18" ht="189" customHeight="1" s="51"/>
    <row r="19" ht="432.75" customHeight="1" s="51">
      <c r="A19" s="70" t="inlineStr">
        <is>
          <t>※ 0-7 / 0-8 は v2.0.0 で R20 の接続先を誤っていた箇所です。R20 の上端が 12V レールではなく分圧ノードに繋がっていたため、TL431 にバイアス電流が流れず VREF が立ちませんでした。通電前にこの 2 項目を確認すれば、同種の誤りを検出できます。</t>
        </is>
      </c>
    </row>
    <row r="20" ht="227.25" customHeight="1" s="51">
      <c r="A20" s="70" t="inlineStr">
        <is>
          <t>※ 0-11 は fail-off 構成の要です。R13 が未実装だと Q4 のゲートが浮き、意図しない導通が起こり得ます。</t>
        </is>
      </c>
    </row>
    <row r="21">
      <c r="A21" s="71" t="inlineStr">
        <is>
          <t>※ 抵抗レンジでの測定は、どの項目も「表示が安定してから読む」か「上昇し続けることを確認する」のどちらかです。0-2〜0-4 は上昇し続けることが正常、0-7 / 0-9 は安定後の値が判定対象、0-8 は上昇し続けるか OL が正常です。</t>
        </is>
      </c>
    </row>
    <row r="22">
      <c r="A22" s="71" t="inlineStr">
        <is>
          <t>※ 測定前に C5 / C7 を放電させてください。前の測定で充電が残っていると高い値が表示され、短絡を見逃します。</t>
        </is>
      </c>
    </row>
  </sheetData>
  <dataValidations count="1">
    <dataValidation sqref="H5:H15"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50" min="1" max="1"/>
    <col width="20" customWidth="1" style="50" min="2" max="2"/>
    <col width="34" customWidth="1" style="50" min="3" max="3"/>
    <col width="16" customWidth="1" style="50" min="4" max="4"/>
    <col width="26" customWidth="1" style="50" min="5" max="5"/>
    <col width="7" customWidth="1" style="50" min="6" max="6"/>
    <col width="12" customWidth="1" style="50" min="7" max="7"/>
    <col width="9" customWidth="1" style="50" min="8" max="8"/>
    <col width="26" customWidth="1" style="50" min="9" max="9"/>
  </cols>
  <sheetData>
    <row r="1" ht="21" customHeight="1" s="51">
      <c r="A1" s="52" t="inlineStr">
        <is>
          <t>1_低電圧基本動作</t>
        </is>
      </c>
    </row>
    <row r="2" ht="27.75" customHeight="1" s="51">
      <c r="A2" s="71" t="inlineStr">
        <is>
          <t>可変電源を電流制限 0.5A に設定し、J1 に接続して実施。パックはまだ接続しない。1-8 を除き、非常停止ボタンは解除（スイッチ ON）の状態で行うこと。</t>
        </is>
      </c>
    </row>
    <row r="4" ht="30" customHeight="1" s="51">
      <c r="A4" s="65" t="inlineStr">
        <is>
          <t>No.</t>
        </is>
      </c>
      <c r="B4" s="66" t="inlineStr">
        <is>
          <t>項目</t>
        </is>
      </c>
      <c r="C4" s="66" t="inlineStr">
        <is>
          <t>手順・条件</t>
        </is>
      </c>
      <c r="D4" s="66" t="inlineStr">
        <is>
          <t>測定点</t>
        </is>
      </c>
      <c r="E4" s="66" t="inlineStr">
        <is>
          <t>設計値・判定基準</t>
        </is>
      </c>
      <c r="F4" s="66" t="inlineStr">
        <is>
          <t>単位</t>
        </is>
      </c>
      <c r="G4" s="66" t="inlineStr">
        <is>
          <t>実測値</t>
        </is>
      </c>
      <c r="H4" s="66" t="inlineStr">
        <is>
          <t>判定</t>
        </is>
      </c>
      <c r="I4" s="66" t="inlineStr">
        <is>
          <t>備考</t>
        </is>
      </c>
    </row>
    <row r="5" ht="39.75" customHeight="1" s="51">
      <c r="A5" s="67" t="inlineStr">
        <is>
          <t>1-1</t>
        </is>
      </c>
      <c r="B5" s="63" t="inlineStr">
        <is>
          <t>UVLO 遮断→復帰</t>
        </is>
      </c>
      <c r="C5" s="62" t="inlineStr">
        <is>
          <t>電源電圧を 0V から徐々に上げる（非常停止は解除状態）</t>
        </is>
      </c>
      <c r="D5" s="67" t="inlineStr">
        <is>
          <t>TP10 / TP19</t>
        </is>
      </c>
      <c r="E5" s="63" t="inlineStr">
        <is>
          <t>19.5V 付近で Q3 が ON</t>
        </is>
      </c>
      <c r="F5" s="67" t="inlineStr">
        <is>
          <t>V</t>
        </is>
      </c>
      <c r="G5" s="69" t="n"/>
      <c r="H5" s="69" t="n"/>
      <c r="I5" s="69" t="n"/>
    </row>
    <row r="6" ht="39.75" customHeight="1" s="51">
      <c r="A6" s="67" t="inlineStr">
        <is>
          <t>1-2</t>
        </is>
      </c>
      <c r="B6" s="63" t="inlineStr">
        <is>
          <t>UVLO ヒステリシス</t>
        </is>
      </c>
      <c r="C6" s="62" t="inlineStr">
        <is>
          <t>電圧を徐々に下げる（同上）</t>
        </is>
      </c>
      <c r="D6" s="67" t="inlineStr">
        <is>
          <t>TP10 / TP19</t>
        </is>
      </c>
      <c r="E6" s="63" t="inlineStr">
        <is>
          <t>17.4V 付近で OFF</t>
        </is>
      </c>
      <c r="F6" s="67" t="inlineStr">
        <is>
          <t>V</t>
        </is>
      </c>
      <c r="G6" s="69" t="n"/>
      <c r="H6" s="69" t="n"/>
      <c r="I6" s="69" t="n"/>
    </row>
    <row r="7" ht="39.75" customHeight="1" s="51">
      <c r="A7" s="67" t="inlineStr">
        <is>
          <t>1-3</t>
        </is>
      </c>
      <c r="B7" s="63" t="inlineStr">
        <is>
          <t>OVP 遮断</t>
        </is>
      </c>
      <c r="C7" s="62" t="inlineStr">
        <is>
          <t>電圧を 35V まで上げる（同上）</t>
        </is>
      </c>
      <c r="D7" s="67" t="inlineStr">
        <is>
          <t>TP10 / TP19</t>
        </is>
      </c>
      <c r="E7" s="63" t="inlineStr">
        <is>
          <t>34.0V 付近で OFF</t>
        </is>
      </c>
      <c r="F7" s="67" t="inlineStr">
        <is>
          <t>V</t>
        </is>
      </c>
      <c r="G7" s="69" t="n"/>
      <c r="H7" s="69" t="n"/>
      <c r="I7" s="69" t="n"/>
    </row>
    <row r="8" ht="39.75" customHeight="1" s="51">
      <c r="A8" s="67" t="inlineStr">
        <is>
          <t>1-4</t>
        </is>
      </c>
      <c r="B8" s="63" t="inlineStr">
        <is>
          <t>OVP 復帰</t>
        </is>
      </c>
      <c r="C8" s="62" t="inlineStr">
        <is>
          <t>電圧を下げる（同上）</t>
        </is>
      </c>
      <c r="D8" s="67" t="inlineStr">
        <is>
          <t>TP10 / TP19</t>
        </is>
      </c>
      <c r="E8" s="63" t="inlineStr">
        <is>
          <t>30.1V 付近で復帰</t>
        </is>
      </c>
      <c r="F8" s="67" t="inlineStr">
        <is>
          <t>V</t>
        </is>
      </c>
      <c r="G8" s="69" t="n"/>
      <c r="H8" s="69" t="n"/>
      <c r="I8" s="69" t="n"/>
    </row>
    <row r="9" ht="30" customHeight="1" s="51">
      <c r="A9" s="67" t="inlineStr">
        <is>
          <t>1-5</t>
        </is>
      </c>
      <c r="B9" s="62" t="inlineStr">
        <is>
          <t>非常停止スイッチ</t>
        </is>
      </c>
      <c r="C9" s="62" t="inlineStr">
        <is>
          <t>ボタンを押す／ひねって解除</t>
        </is>
      </c>
      <c r="D9" s="67" t="inlineStr">
        <is>
          <t>TP10 / TP19</t>
        </is>
      </c>
      <c r="E9" s="62" t="inlineStr">
        <is>
          <t>押すと OFF、解除で ON（NC 接点）</t>
        </is>
      </c>
      <c r="F9" s="67" t="inlineStr">
        <is>
          <t>—</t>
        </is>
      </c>
      <c r="G9" s="69" t="n"/>
      <c r="H9" s="69" t="n"/>
      <c r="I9" s="69" t="n"/>
    </row>
    <row r="10" ht="39.75" customHeight="1" s="51">
      <c r="A10" s="67" t="inlineStr">
        <is>
          <t>1-6</t>
        </is>
      </c>
      <c r="B10" s="63" t="inlineStr">
        <is>
          <t>EN 電圧</t>
        </is>
      </c>
      <c r="C10" s="63" t="inlineStr">
        <is>
          <t>25℃、バス 29.4V（非常停止は解除状態）</t>
        </is>
      </c>
      <c r="D10" s="67" t="inlineStr">
        <is>
          <t>TP7 / TP2</t>
        </is>
      </c>
      <c r="E10" s="63" t="inlineStr">
        <is>
          <t>3.9V（D8 でクランプ）</t>
        </is>
      </c>
      <c r="F10" s="67" t="inlineStr">
        <is>
          <t>V</t>
        </is>
      </c>
      <c r="G10" s="69" t="n"/>
      <c r="H10" s="69" t="n"/>
      <c r="I10" s="69" t="n"/>
    </row>
    <row r="11" ht="39.75" customHeight="1" s="51">
      <c r="A11" s="67" t="inlineStr">
        <is>
          <t>1-7</t>
        </is>
      </c>
      <c r="B11" s="63" t="inlineStr">
        <is>
          <t>LED1 点灯</t>
        </is>
      </c>
      <c r="C11" s="63" t="inlineStr">
        <is>
          <t>Q3 が ON の状態（同上）</t>
        </is>
      </c>
      <c r="D11" s="67" t="inlineStr">
        <is>
          <t>LED1（基板上）</t>
        </is>
      </c>
      <c r="E11" s="62" t="inlineStr">
        <is>
          <t>点灯すること（NPGD が Low）</t>
        </is>
      </c>
      <c r="F11" s="67" t="inlineStr">
        <is>
          <t>—</t>
        </is>
      </c>
      <c r="G11" s="69" t="n"/>
      <c r="H11" s="69" t="n"/>
      <c r="I11" s="69" t="n"/>
    </row>
    <row r="12" ht="30" customHeight="1" s="51">
      <c r="A12" s="67" t="inlineStr">
        <is>
          <t>1-8</t>
        </is>
      </c>
      <c r="B12" s="62" t="inlineStr">
        <is>
          <t>待機電流</t>
        </is>
      </c>
      <c r="C12" s="62" t="inlineStr">
        <is>
          <t>非常停止ボタンを押した状態、バス 29.4V</t>
        </is>
      </c>
      <c r="D12" s="68" t="inlineStr">
        <is>
          <t>電源の電流表示</t>
        </is>
      </c>
      <c r="E12" s="62" t="inlineStr">
        <is>
          <t>約 60µA</t>
        </is>
      </c>
      <c r="F12" s="67" t="inlineStr">
        <is>
          <t>µA</t>
        </is>
      </c>
      <c r="G12" s="69" t="n"/>
      <c r="H12" s="69" t="n"/>
      <c r="I12" s="69" t="n"/>
    </row>
    <row r="14" ht="163.5" customHeight="1" s="51">
      <c r="A14" s="70" t="inlineStr">
        <is>
          <t>※ 1-1〜1-4 が設計値と大きくずれる場合、R2 / R3 / R4 の実装と値を確認してください。</t>
        </is>
      </c>
    </row>
    <row r="15" ht="178.5" customHeight="1" s="51">
      <c r="A15" s="70" t="inlineStr">
        <is>
          <t>※ 1-8：外部 LED は Vout から駆動されるため、遮断時は消灯し待機電流に加算されません。</t>
        </is>
      </c>
    </row>
    <row r="16" ht="343.5" customHeight="1" s="51">
      <c r="A16" s="70" t="inlineStr">
        <is>
          <t>※ J4 の接点は NC（ノーマルクローズ）です。非常停止ボタンが押された状態では EN 経路が開いており、Vout は出ません。1-1〜1-7 は必ずボタンを解除してから実施してください。</t>
        </is>
      </c>
    </row>
    <row r="17" ht="278.25" customHeight="1" s="51">
      <c r="A17" s="70" t="inlineStr">
        <is>
          <t>※ J4 にスイッチを接続せずに試験する場合は、pin3 − pin4 間を短絡して接点 ON を模擬してください。開放のままでは Vout が立ち上がりません。</t>
        </is>
      </c>
    </row>
  </sheetData>
  <dataValidations count="1">
    <dataValidation sqref="H5:H12"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6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50" min="1" max="1"/>
    <col width="20" customWidth="1" style="50" min="2" max="2"/>
    <col width="34" customWidth="1" style="50" min="3" max="3"/>
    <col width="16" customWidth="1" style="50" min="4" max="4"/>
    <col width="26" customWidth="1" style="50" min="5" max="5"/>
    <col width="7" customWidth="1" style="50" min="6" max="6"/>
    <col width="12" customWidth="1" style="50" min="7" max="7"/>
    <col width="9" customWidth="1" style="50" min="8" max="8"/>
    <col width="26" customWidth="1" style="50" min="9" max="9"/>
  </cols>
  <sheetData>
    <row r="1" ht="21" customHeight="1" s="51">
      <c r="A1" s="52" t="inlineStr">
        <is>
          <t>2_起動波形</t>
        </is>
      </c>
    </row>
    <row r="2" ht="13.5" customHeight="1" s="51">
      <c r="A2" s="108" t="inlineStr">
        <is>
          <t>MDDS30 を接続して実施。入力容量は実測済み（3580µF / 100Hz）で、C15 と C16 は実装済み。★電源の電流制限は 3A 以上に設定すること（突入 2A）。不足すると UVLO リトライで階段状の波形になり、測定が無効になる。</t>
        </is>
      </c>
    </row>
    <row r="4" ht="30" customHeight="1" s="51">
      <c r="A4" s="65" t="inlineStr">
        <is>
          <t>No.</t>
        </is>
      </c>
      <c r="B4" s="66" t="inlineStr">
        <is>
          <t>項目</t>
        </is>
      </c>
      <c r="C4" s="66" t="inlineStr">
        <is>
          <t>手順・条件</t>
        </is>
      </c>
      <c r="D4" s="66" t="inlineStr">
        <is>
          <t>測定点</t>
        </is>
      </c>
      <c r="E4" s="66" t="inlineStr">
        <is>
          <t>設計値・判定基準</t>
        </is>
      </c>
      <c r="F4" s="66" t="inlineStr">
        <is>
          <t>単位</t>
        </is>
      </c>
      <c r="G4" s="66" t="inlineStr">
        <is>
          <t>実測値</t>
        </is>
      </c>
      <c r="H4" s="66" t="inlineStr">
        <is>
          <t>判定</t>
        </is>
      </c>
      <c r="I4" s="66" t="inlineStr">
        <is>
          <t>備考</t>
        </is>
      </c>
    </row>
    <row r="5" ht="30" customHeight="1" s="51">
      <c r="A5" s="67" t="inlineStr">
        <is>
          <t>2-1</t>
        </is>
      </c>
      <c r="B5" s="63" t="inlineStr">
        <is>
          <t>MDDS30 入力容量</t>
        </is>
      </c>
      <c r="C5" s="62" t="inlineStr">
        <is>
          <t>電源を切った状態で VB+/VB− 間を 100Hz で測定</t>
        </is>
      </c>
      <c r="D5" s="67" t="inlineStr">
        <is>
          <t>MDDS30</t>
        </is>
      </c>
      <c r="E5" s="62" t="inlineStr">
        <is>
          <t>参考値。v2.0.0 実測では 3580µF</t>
        </is>
      </c>
      <c r="F5" s="67" t="inlineStr">
        <is>
          <t>µF</t>
        </is>
      </c>
      <c r="G5" s="69" t="n"/>
      <c r="H5" s="69" t="n"/>
      <c r="I5" s="69" t="n"/>
    </row>
    <row r="6" ht="30" customHeight="1" s="51">
      <c r="A6" s="67" t="inlineStr">
        <is>
          <t>2-2</t>
        </is>
      </c>
      <c r="B6" s="62" t="inlineStr">
        <is>
          <t>ゲート立ち上がり</t>
        </is>
      </c>
      <c r="C6" s="103" t="inlineStr">
        <is>
          <t>スイッチ ON、Ch1=TP5(GND:TP18)。10×プローブ、レンジは VBUS＋15V 以上</t>
        </is>
      </c>
      <c r="D6" s="67" t="inlineStr">
        <is>
          <t>TP5 / TP18</t>
        </is>
      </c>
      <c r="E6" s="104" t="inlineStr">
        <is>
          <t>終値 VBUS＋12V（10〜14V）。立ち上がりは 0.545V/ms。VBUS 19.5/24.0/29.4V で 35.8/44.0/53.9ms</t>
        </is>
      </c>
      <c r="F6" s="67" t="inlineStr">
        <is>
          <t>ms</t>
        </is>
      </c>
      <c r="G6" s="69" t="n">
        <v>75.40000000000001</v>
      </c>
      <c r="H6" s="69" t="inlineStr">
        <is>
          <t>OK</t>
        </is>
      </c>
      <c r="I6" s="109" t="inlineStr">
        <is>
          <t>2026-10-08 再測定（電流制限 4A）: 終値 40.1V、Vout 28.3V → Vgs 11.8V（規格 10〜14V）。単調・階段なし。10-90% 75.4ms</t>
        </is>
      </c>
    </row>
    <row r="7" ht="30" customHeight="1" s="51">
      <c r="A7" s="67" t="inlineStr">
        <is>
          <t>2-3</t>
        </is>
      </c>
      <c r="B7" s="63" t="inlineStr">
        <is>
          <t>Vout 立ち上がり</t>
        </is>
      </c>
      <c r="C7" s="62" t="inlineStr">
        <is>
          <t>同時観測、Ch2=TP10(GND:TP19)</t>
        </is>
      </c>
      <c r="D7" s="67" t="inlineStr">
        <is>
          <t>TP10 / TP19</t>
        </is>
      </c>
      <c r="E7" s="104" t="inlineStr">
        <is>
          <t>VBUS÷0.545V/ms。19.5V:35.8ms / 24.0V:44.0ms / 29.4V:53.9ms。ゲート電流の幅で ±40%</t>
        </is>
      </c>
      <c r="F7" s="67" t="inlineStr">
        <is>
          <t>ms</t>
        </is>
      </c>
      <c r="G7" s="69" t="n">
        <v>74</v>
      </c>
      <c r="H7" s="69" t="inlineStr">
        <is>
          <t>OK</t>
        </is>
      </c>
      <c r="I7" s="109" t="inlineStr">
        <is>
          <t>2026-10-08 再測定: 終値 28.3V、ランプ 74ms（10-90% 61.3ms）、単調。傾き 382V/s → ゲート電流は規格下限側の約17〜19µA（typ 24µA）。許容 40〜83ms 内</t>
        </is>
      </c>
    </row>
    <row r="8" ht="30" customHeight="1" s="51">
      <c r="A8" s="67" t="inlineStr">
        <is>
          <t>2-4</t>
        </is>
      </c>
      <c r="B8" s="62" t="inlineStr">
        <is>
          <t>突入電流</t>
        </is>
      </c>
      <c r="C8" s="103" t="inlineStr">
        <is>
          <t>①2-3 の傾きから算出（推奨）②低電位側シャント ③電源の電流制限でブラケット。下の表を参照</t>
        </is>
      </c>
      <c r="D8" s="68" t="inlineStr">
        <is>
          <t>入力配線</t>
        </is>
      </c>
      <c r="E8" s="104" t="inlineStr">
        <is>
          <t>1.98A（1.4〜2.6A）。VBUS に依存しない</t>
        </is>
      </c>
      <c r="F8" s="67" t="inlineStr">
        <is>
          <t>A</t>
        </is>
      </c>
      <c r="G8" s="69" t="n">
        <v>1.39</v>
      </c>
      <c r="H8" s="69" t="inlineStr">
        <is>
          <t>OK</t>
        </is>
      </c>
      <c r="I8" s="109" t="inlineStr">
        <is>
          <t>2026-10-08: 2-3 の傾き 382V/s から 3628µF × 382 = 1.39A（主測定）。2-2 のゲート傾き 354V/s からは 1.29A で 7% 一致（クロスチェック）。基準 2.4A 以下</t>
        </is>
      </c>
    </row>
    <row r="9" ht="30" customHeight="1" s="51">
      <c r="A9" s="67" t="inlineStr">
        <is>
          <t>2-5</t>
        </is>
      </c>
      <c r="B9" s="63" t="inlineStr">
        <is>
          <t>TIMER 波形</t>
        </is>
      </c>
      <c r="C9" s="62" t="inlineStr">
        <is>
          <t>起動時の TIMER ピン電圧</t>
        </is>
      </c>
      <c r="D9" s="67" t="inlineStr">
        <is>
          <t>TP6 / TP2</t>
        </is>
      </c>
      <c r="E9" s="63" t="inlineStr">
        <is>
          <t>2V に達する前に起動完了すること</t>
        </is>
      </c>
      <c r="F9" s="67" t="inlineStr">
        <is>
          <t>V</t>
        </is>
      </c>
      <c r="G9" s="69" t="n">
        <v>0.76</v>
      </c>
      <c r="H9" s="69" t="inlineStr">
        <is>
          <t>OK</t>
        </is>
      </c>
      <c r="I9" s="109" t="inlineStr">
        <is>
          <t>2026-10-08 長時間軸で確認: 1本目 ピーク0.70V(14.0mV/ms) → +24ms に 0.35V へリセット → 2本目 ピーク0.76V(15.0mV/ms) → +53ms に 0.00V へ放電し +99ms まで平坦。ラッチ 2.0V に対し余裕 2.6 倍</t>
        </is>
      </c>
    </row>
    <row r="11" ht="15" customHeight="1" s="51">
      <c r="A11" s="72" t="inlineStr">
        <is>
          <t>C15 / C16 の実装判断（実測済み・記録用）</t>
        </is>
      </c>
    </row>
    <row r="12" ht="45" customHeight="1" s="51">
      <c r="A12" s="65" t="inlineStr">
        <is>
          <t>MDDS30 入力容量</t>
        </is>
      </c>
      <c r="B12" s="65" t="inlineStr">
        <is>
          <t>C15</t>
        </is>
      </c>
      <c r="C12" s="65" t="inlineStr">
        <is>
          <t>C16</t>
        </is>
      </c>
      <c r="D12" s="66" t="inlineStr">
        <is>
          <t>立ち上がり</t>
        </is>
      </c>
      <c r="E12" s="65" t="inlineStr">
        <is>
          <t>TIMER 許容</t>
        </is>
      </c>
      <c r="F12" s="66" t="inlineStr">
        <is>
          <t>突入電流</t>
        </is>
      </c>
    </row>
    <row r="13" ht="26.25" customHeight="1" s="51">
      <c r="A13" s="63" t="inlineStr">
        <is>
          <t>2200µF 以下</t>
        </is>
      </c>
      <c r="B13" s="62" t="inlineStr">
        <is>
          <t>未実装</t>
        </is>
      </c>
      <c r="C13" s="62" t="inlineStr">
        <is>
          <t>未実装</t>
        </is>
      </c>
      <c r="D13" s="63" t="inlineStr">
        <is>
          <t>27.0ms</t>
        </is>
      </c>
      <c r="E13" s="63" t="inlineStr">
        <is>
          <t>60ms</t>
        </is>
      </c>
      <c r="F13" s="63" t="inlineStr">
        <is>
          <t>—</t>
        </is>
      </c>
    </row>
    <row r="14" ht="54.75" customHeight="1" s="51">
      <c r="A14" s="63" t="inlineStr">
        <is>
          <t>3580µF（実測・採用）</t>
        </is>
      </c>
      <c r="B14" s="63" t="inlineStr">
        <is>
          <t>22nF 実装</t>
        </is>
      </c>
      <c r="C14" s="63" t="inlineStr">
        <is>
          <t>0.15µF 実装</t>
        </is>
      </c>
      <c r="D14" s="63" t="inlineStr">
        <is>
          <t>53.9ms</t>
        </is>
      </c>
      <c r="E14" s="63" t="inlineStr">
        <is>
          <t>87ms</t>
        </is>
      </c>
      <c r="F14" s="63" t="inlineStr">
        <is>
          <t>2.0A</t>
        </is>
      </c>
    </row>
    <row r="15" ht="199.5" customHeight="1" s="51">
      <c r="A15" s="70" t="inlineStr">
        <is>
          <t>※ 2-3 で起動に失敗する場合、TIMER 満了が疑われます。C6 + C16 = 0.48µF の実装を確認してください。</t>
        </is>
      </c>
    </row>
    <row r="16" ht="242.25" customHeight="1" s="51">
      <c r="A16" s="71" t="inlineStr">
        <is>
          <t>※ 立ち上がり時間はゲート容量とゲート電流だけで決まり、負荷容量には依存しません。負荷容量が効くのは突入電流です。</t>
        </is>
      </c>
    </row>
    <row r="18">
      <c r="A18" s="87" t="inlineStr">
        <is>
          <t>2-4 突入電流の測定方法（クランプメータを使わない場合）</t>
        </is>
      </c>
    </row>
    <row r="19" ht="16" customHeight="1" s="51">
      <c r="A19" s="88" t="inlineStr">
        <is>
          <t>方法</t>
        </is>
      </c>
      <c r="B19" s="88" t="inlineStr">
        <is>
          <t>手順</t>
        </is>
      </c>
      <c r="C19" s="88" t="inlineStr">
        <is>
          <t>算出・判定</t>
        </is>
      </c>
      <c r="D19" s="88" t="inlineStr">
        <is>
          <t>長所</t>
        </is>
      </c>
      <c r="E19" s="88" t="inlineStr">
        <is>
          <t>短所</t>
        </is>
      </c>
    </row>
    <row r="20" ht="58" customHeight="1" s="51">
      <c r="A20" s="105" t="inlineStr">
        <is>
          <t>① 傾きから算出
（推奨）</t>
        </is>
      </c>
      <c r="B20" s="106" t="inlineStr">
        <is>
          <t>2-3 の Vout 波形から立ち上がり時間を読む</t>
        </is>
      </c>
      <c r="C20" s="107" t="inlineStr">
        <is>
          <t>I = 3628µF × VBUS ÷ t_rise
→ 1.98A（許容 1.4〜2.6A）</t>
        </is>
      </c>
      <c r="D20" s="107" t="inlineStr">
        <is>
          <t>追加部品なし。2-3 と同時に完了する</t>
        </is>
      </c>
      <c r="E20" s="107" t="inlineStr">
        <is>
          <t>MDDS30 自身の消費電流（数十mA）は含まれない</t>
        </is>
      </c>
    </row>
    <row r="21" ht="58" customHeight="1" s="51">
      <c r="A21" s="105" t="inlineStr">
        <is>
          <t>② 低電位側シャント</t>
        </is>
      </c>
      <c r="B21" s="106" t="inlineStr">
        <is>
          <t>MDDS30 の VB− と基板 GND の間に 0.22Ω/2W を挿入。オシロ GND は基板 GND、先端をシャントの MDDS30 側へ。1× プローブ、100mV/div</t>
        </is>
      </c>
      <c r="C21" s="107" t="inlineStr">
        <is>
          <t>2A で 440mV。I = V_Rs ÷ 0.22</t>
        </is>
      </c>
      <c r="D21" s="107" t="inlineStr">
        <is>
          <t>オシロの GND が基板 GND のままなので TP5 / TP10 と同時観測できる</t>
        </is>
      </c>
      <c r="E21" s="107" t="inlineStr">
        <is>
          <t>モータを外して実施し、試験後は必ず撤去すること（走行電流で焼損）。MDDS30 の制御系 GND が別経路で基板 GND に繋がっているとシャントが短絡される</t>
        </is>
      </c>
    </row>
    <row r="22" ht="58" customHeight="1" s="51">
      <c r="A22" s="105" t="inlineStr">
        <is>
          <t>③ 電源の電流制限</t>
        </is>
      </c>
      <c r="B22" s="106" t="inlineStr">
        <is>
          <t>電流制限を 2.5A に設定して起動。CC に入らなければ 2.5A 未満。上下から挟み込む</t>
        </is>
      </c>
      <c r="C22" s="107" t="inlineStr">
        <is>
          <t>CC に入った制限値がピークの上限</t>
        </is>
      </c>
      <c r="D22" s="107" t="inlineStr">
        <is>
          <t>部品不要</t>
        </is>
      </c>
      <c r="E22" s="107" t="inlineStr">
        <is>
          <t>電源の出力コンデンサが突入の一部を供給するため、実際より小さく出る。裏取り用</t>
        </is>
      </c>
    </row>
    <row r="24" ht="30" customHeight="1" s="51">
      <c r="A24" s="93" t="inlineStr">
        <is>
          <t>※ 突入電流はゲートのスルーレートで決まるため VBUS に依存しません。I = C_total × dV/dt = 3628µF × 0.545V/ms = 1.98A。VBUS が高いほど時間が延びるだけです。C_total = MDDS30 3580µF ＋ C7 47µF ＋ C11 1µF。</t>
        </is>
      </c>
    </row>
    <row r="25" ht="30" customHeight="1" s="51">
      <c r="A25" s="93" t="inlineStr">
        <is>
          <t>※ シャントを足しても突入電流は変わりません。電流を決めているのはゲートのスルーレートであってループ抵抗ではないためです。50ms の事象なので無誘導型である必要もありません。</t>
        </is>
      </c>
    </row>
    <row r="26" ht="30" customHeight="1" s="51">
      <c r="A26" s="93" t="inlineStr">
        <is>
          <t>※ 正常な波形はほぼ矩形です。約 2A が t_rise の間続き、Vout が VBUS に達した瞬間に MDDS30 の待機電流まで落ちます。先頭に鋭いスパイクが出た場合は C9 / C15（ゲートのスルーレート用 44nF、GATE−GND 間）の未実装またははんだ不良を疑ってください。</t>
        </is>
      </c>
    </row>
    <row r="27" ht="30" customHeight="1" s="51">
      <c r="A27" s="93" t="inlineStr">
        <is>
          <t>※ TP5 は GND 基準で VBUS より上に出ます。プローブは 10×、レンジは VBUS＋15V 以上を確保してください。</t>
        </is>
      </c>
    </row>
    <row r="28" ht="30" customHeight="1" s="51">
      <c r="A28" s="93" t="inlineStr">
        <is>
          <t>※ ゲート波形は 3 段階になります。(1) 0→約3V で Q3 がオン開始 (2) ミラー期間：Vgs が 3〜4V で平らなまま、GND 基準の TP5 は Vout と一緒に上昇（ここが t_rise）(3) Vout が VBUS に達した後、さらに 12V 分だけ上がって VBUS＋12V で停止（約22ms）。データシートの GATE−OUT 16.8V はツェナークランプの保護値で、正常動作では到達しません。</t>
        </is>
      </c>
    </row>
    <row r="29" ht="30" customHeight="1" s="51">
      <c r="A29" s="93" t="inlineStr">
        <is>
          <t>※ 2-3 の「TIMER 許容 87ms」は要確認です。C6＋C16 = 0.48µF を 6µA でラッチ電圧 2.0V まで充電すると 160ms になります。2-5 で TP6 の傾きを実測して確定してください（6µA / 0.48µF なら 12.5mV/ms）。</t>
        </is>
      </c>
    </row>
    <row r="31">
      <c r="A31" s="108" t="inlineStr">
        <is>
          <t>2026-10-08 の測定で判明した事項（再測定が必要）</t>
        </is>
      </c>
    </row>
    <row r="32" ht="42" customHeight="1" s="51">
      <c r="A32" s="93" t="inlineStr">
        <is>
          <t>■ 症状：2-2 / 2-3 とも立ち上がりが約 200ms（設計 53.9ms）で、前半が高周波の振動を伴う階段状になった。2-5 の TIMER は約 35ms 周期でリセットを繰り返した。</t>
        </is>
      </c>
    </row>
    <row r="33" ht="42" customHeight="1" s="51">
      <c r="A33" s="93" t="inlineStr">
        <is>
          <t>■ 原因：安定化電源の電流制限が約 0.3A。根拠は 4 点。(1) 後半の直線部ですでに Vgs ≒ 11.4V と Q3 は完全オンで、Vout は VBUS に追従しているだけ。(2) 直線部の傾き 73.5V/s から I = 3628µF × 73.5 = 0.27A。(3) 波形が指数ではなく直線（30ms ごとの増分 2.3/2.25/2.15/2.1V）＝定電流源の特徴。(4) 階段が終わる電圧 18.0〜18.4V が 1-2 の UVLO 立ち下がり実測 17.95V と一致。</t>
        </is>
      </c>
    </row>
    <row r="34" ht="42" customHeight="1" s="51">
      <c r="A34" s="93" t="inlineStr">
        <is>
          <t>■ 機序：Q3 がオン → 電源が 0.3A で頭打ち → VBUS が Vout まで下がる → UVLO を割って LM5060 が遮断し TIMER もリセット → 負荷が切れて VBUS 復帰 → 再起動、の繰り返し。1 サイクルごとに負荷容量が充電され階段状に上昇。Vout が 18V を超えると VBUS が UVLO を割らなくなりハンチング終了、以降は電源の CC 0.27A による直線充電。</t>
        </is>
      </c>
    </row>
    <row r="35" ht="42" customHeight="1" s="51">
      <c r="A35" s="93" t="inlineStr">
        <is>
          <t>■ 基板側の異常は見つかっていない。ゲート終値 40.6V（Vgs 11.8V、規格 10〜14V）は正常。極端に弱い電源に対して UVLO リトライを繰り返し、ラッチオフせず最終的に正常起動した点はむしろ保護動作の確認になっている。</t>
        </is>
      </c>
    </row>
    <row r="36" ht="42" customHeight="1" s="51">
      <c r="A36" s="93" t="inlineStr">
        <is>
          <t>■ 対策：電源の電流制限を 3A 以上にして再測定する（29.4V × 2A = 59W が瞬間的に必要）。電源の定格が足りない場合は実バッテリパックで測定する。電流制限を上げても階段が残る場合は電源の CC→CV 復帰が遅い機種なので、パックで確認すること。</t>
        </is>
      </c>
    </row>
    <row r="37" ht="42" customHeight="1" s="51">
      <c r="A37" s="93" t="inlineStr">
        <is>
          <t>■ LM5060 の TIMER 充電電流は 2 つある：I_TIMERL = 6µA（VGS &lt; 5V、起動中）／I_TIMERH = 11µA（VGS &gt; 5V、VDS 遷移・過電流判定）。本回路は C9＋C15 = 44nF が GATE−GND 間にあるため、Vout が立ち上がり切るまで VGS は 3〜4V に留まり、起動中はずっと 6µA 側。ラッチまでの余裕は C = 0.48µF なら 160ms、0.33µF なら 110ms。いずれも 53.9ms に対し 2〜3 倍の余裕がある。</t>
        </is>
      </c>
    </row>
    <row r="38" ht="42" customHeight="1" s="51">
      <c r="A38" s="93" t="inlineStr">
        <is>
          <t>■ TIMER 容量は未確定。実測の傾き 20.5mV/ms は (a) C = 0.48µF × 11µA（22.9mV/ms）とも (b) C = 0.33µF × 6µA（18.2mV/ms）とも取れる。今回は VGS が低い状態だったので (b)＝C16 が TIMER に載っていない可能性がある。再測定で正常起動の傾きを測り、C = 6µA ÷ 傾き で確定させること。</t>
        </is>
      </c>
    </row>
    <row r="39" ht="42" customHeight="1" s="51">
      <c r="A39" s="93" t="inlineStr">
        <is>
          <t>■ 最悪条件の余裕：ゲート電流 17µA で Vout 立ち上がり 76ms、TIMER が C 0.30µF・7µA でラッチ 85ms となり、余裕は 12% しかない。v2.3 では TIMER 容量を 1µF 程度に増やすこと。</t>
        </is>
      </c>
    </row>
    <row r="41">
      <c r="A41" s="108" t="inlineStr">
        <is>
          <t>2026-10-08 再測定（電源の電流制限 4A）の結果</t>
        </is>
      </c>
    </row>
    <row r="42" ht="42" customHeight="1" s="51">
      <c r="A42" s="93" t="inlineStr">
        <is>
          <t>■ 前回の階段状波形とハンチングは完全に消失。電流制限が原因であったことが確定した。</t>
        </is>
      </c>
    </row>
    <row r="43" ht="42" customHeight="1" s="51">
      <c r="A43" s="93" t="inlineStr">
        <is>
          <t>■ ゲート駆動は正常。終値 40.1V − Vout 28.3V = Vgs 11.8V で、VGATE 規格（VIN＋10〜14V、typ 12V）の中央。</t>
        </is>
      </c>
    </row>
    <row r="44" ht="42" customHeight="1" s="51">
      <c r="A44" s="93" t="inlineStr">
        <is>
          <t>■ 立ち上がりは規格の遅い側コーナー。Vout の傾き 382V/s（設計 typ 545V/s）から逆算されるゲート電流は約 17〜19µA。Vout 飽和後のゲート単独上昇区間（336V/s）からも同値が出るので読み取り誤差ではなく個体特性。規格 17〜31µA 内なので不良ではない。許容範囲は VBUS 28.3V 換算で 40〜83ms（I_gate 17〜31µA、C 44〜50nF）。実測 74ms は範囲内。</t>
        </is>
      </c>
    </row>
    <row r="45" ht="42" customHeight="1" s="51">
      <c r="A45" s="93" t="inlineStr">
        <is>
          <t>■ 突入電流は遅いぶん小さく 1.39A。上限規定（2.4A 以下）なので安全側。</t>
        </is>
      </c>
    </row>
    <row r="46" ht="42" customHeight="1" s="51">
      <c r="A46" s="93" t="inlineStr">
        <is>
          <t>■ TIMER 容量が確定：1本目のランプの傾き 14.4mV/ms と起動時充電電流 6µA から C = 0.42µF。読み取り誤差を考えれば C6＋C16 = 0.48µF と一致するため、C16 は TIMER に正しく実装されている。ラッチまでの余裕は 2.0V × 0.48µF ÷ 6µA = 160ms で、立ち上がり 74ms に対し 2.2 倍。</t>
        </is>
      </c>
    </row>
    <row r="47" ht="42" customHeight="1" s="51">
      <c r="A47" s="93" t="inlineStr">
        <is>
          <t>■ 未確認事項：TIMER の 2 本目のランプ（VDS 遷移判定、11µA）が画面右端 +50ms で 0.72V のまま上昇中で終わっている。Vout は +98ms まで安定しているため実際にはリセットされているはずだが、波形上は確認できていない。このまま上昇すると +135ms 付近で 2.0V に達する計算になるため要確認。</t>
        </is>
      </c>
    </row>
    <row r="48" ht="42" customHeight="1" s="51">
      <c r="A48" s="93" t="inlineStr">
        <is>
          <t>■ 追加測定：時間軸 100ms/div（1秒窓）で TP6 を撮り、2 本目のランプが 0 付近に落ちて以降平坦であることを確認する。可能なら Ch1 = TP10（Vout）／Ch2 = TP6（TIMER）の 2ch 同時取得が望ましい（GND は共通で 1 本）。</t>
        </is>
      </c>
    </row>
    <row r="49" ht="42" customHeight="1" s="51">
      <c r="A49" s="93" t="inlineStr">
        <is>
          <t>■ 試験手順の注意：TIMER の 1 本目は 48.5ms、Vout の立ち上がりは 74ms と差があった。別々の試行（7分間隔）で MDDS30 の入力容量 3628µF に前回の電荷が残っていたためと考えられる。ブリーダがないため放電に時間がかかる。試行の間に MDDS30 の VB+ / VB− を 1kΩ 程度で放電してから測定すること。</t>
        </is>
      </c>
    </row>
    <row r="51">
      <c r="A51" s="111" t="inlineStr">
        <is>
          <t>試行間の放電手順（MDDS30 入力容量 3628µF）</t>
        </is>
      </c>
    </row>
    <row r="52">
      <c r="A52" s="88" t="inlineStr">
        <is>
          <t>方法</t>
        </is>
      </c>
      <c r="B52" s="88" t="inlineStr">
        <is>
          <t>時定数</t>
        </is>
      </c>
      <c r="C52" s="88" t="inlineStr">
        <is>
          <t>0.5V 以下までの時間</t>
        </is>
      </c>
      <c r="D52" s="88" t="inlineStr">
        <is>
          <t>備考</t>
        </is>
      </c>
    </row>
    <row r="53" ht="30" customHeight="1" s="51">
      <c r="A53" s="105" t="inlineStr">
        <is>
          <t>DMM（DCV）</t>
        </is>
      </c>
      <c r="B53" s="112" t="inlineStr">
        <is>
          <t>36,000 s</t>
        </is>
      </c>
      <c r="C53" s="112" t="inlineStr">
        <is>
          <t>不可</t>
        </is>
      </c>
      <c r="D53" s="106" t="inlineStr">
        <is>
          <t>入力 10MΩ。放電器具としては使えない。オシロのプローブも同じ。DMM は放電の「確認」に使う</t>
        </is>
      </c>
    </row>
    <row r="54" ht="30" customHeight="1" s="51">
      <c r="A54" s="105" t="inlineStr">
        <is>
          <t>DMM（電流レンジ）</t>
        </is>
      </c>
      <c r="B54" s="112" t="inlineStr">
        <is>
          <t>—</t>
        </is>
      </c>
      <c r="C54" s="112" t="inlineStr">
        <is>
          <t>禁止</t>
        </is>
      </c>
      <c r="D54" s="106" t="inlineStr">
        <is>
          <t>ほぼ短絡。1.45J が流れ込みヒューズが飛ぶ。ヒューズレスの 10A レンジでは内部損傷の恐れ</t>
        </is>
      </c>
    </row>
    <row r="55" ht="30" customHeight="1" s="51">
      <c r="A55" s="105" t="inlineStr">
        <is>
          <t>1kΩ / 2W 放電棒</t>
        </is>
      </c>
      <c r="B55" s="112" t="inlineStr">
        <is>
          <t>3.6 s</t>
        </is>
      </c>
      <c r="C55" s="112" t="inlineStr">
        <is>
          <t>約 15 秒</t>
        </is>
      </c>
      <c r="D55" s="106" t="inlineStr">
        <is>
          <t>28mA / 0.8W。ワニ口付きリードに抵抗を 1 本</t>
        </is>
      </c>
    </row>
    <row r="56" ht="30" customHeight="1" s="51">
      <c r="A56" s="105" t="inlineStr">
        <is>
          <t>100Ω / 5W 放電棒</t>
        </is>
      </c>
      <c r="B56" s="112" t="inlineStr">
        <is>
          <t>0.36 s</t>
        </is>
      </c>
      <c r="C56" s="112" t="inlineStr">
        <is>
          <t>約 1.5 秒</t>
        </is>
      </c>
      <c r="D56" s="106" t="inlineStr">
        <is>
          <t>283mA / 8.0W（瞬時）。全エネルギー 1.45J なのでセメント抵抗で余裕</t>
        </is>
      </c>
    </row>
    <row r="57" ht="30" customHeight="1" s="51">
      <c r="A57" s="105" t="inlineStr">
        <is>
          <t>1kΩ / 3W 常設ブリーダ</t>
        </is>
      </c>
      <c r="B57" s="112" t="inlineStr">
        <is>
          <t>3.6 s</t>
        </is>
      </c>
      <c r="C57" s="112" t="inlineStr">
        <is>
          <t>約 15 秒（自動）</t>
        </is>
      </c>
      <c r="D57" s="106" t="inlineStr">
        <is>
          <t>推奨。電源を切るだけで放電される。試験中 28mA / 0.8W は突入 1.39A に対し無視できる</t>
        </is>
      </c>
    </row>
    <row r="59" ht="36" customHeight="1" s="51">
      <c r="A59" s="93" t="inlineStr">
        <is>
          <t>■ 手順：①電源 OFF ②J4 スイッチ OFF ③MDDS30 の VB+ / VB− に放電棒を 15 秒（100Ω なら 2 秒）当てる ④外して DMM の DCV で 0.5V 以下を確認 ⑤次の試行へ。</t>
        </is>
      </c>
    </row>
    <row r="60" ht="36" customHeight="1" s="51">
      <c r="A60" s="93" t="inlineStr">
        <is>
          <t>■ 常設ブリーダを使う場合、0_通電前確認 の抵抗測定（0-2〜0-4、0-7）には影響するので、その試験の前には外すこと。</t>
        </is>
      </c>
    </row>
    <row r="61" ht="36" customHeight="1" s="51">
      <c r="A61" s="93" t="inlineStr">
        <is>
          <t>■ 禁止：ドライバ等の金属で VB+ / VB− を短絡しないこと。28V は感電の危険がない電圧だが、1.45J は工具先端を溶着させるのに十分。</t>
        </is>
      </c>
    </row>
    <row r="62" ht="36" customHeight="1" s="51">
      <c r="A62" s="93" t="inlineStr">
        <is>
          <t>■ 放電が必要な理由：TIMER の 1 本目のランプが 48.5ms、Vout の立ち上がりが 74ms と食い違った。TIMER の 2 回の取得（65 秒間隔）がいずれも残留電荷のある状態からの起動だったためと考えられる。MDDS30 側に 20kΩ 程度の内部ブリーダがあると仮定すると時定数 77 秒となり、毎回ほぼ同じ残留電圧になるので再現性も説明がつく。判定には影響しない。</t>
        </is>
      </c>
    </row>
    <row r="64">
      <c r="A64" s="111" t="inlineStr">
        <is>
          <t>2-2 から 2-4 を算出したクロスチェック（2026-10-08）</t>
        </is>
      </c>
    </row>
    <row r="65" ht="42" customHeight="1" s="51">
      <c r="A65" s="93" t="inlineStr">
        <is>
          <t>■ ミラー期間はゲートと Vout が一緒に上がるため、ゲートの傾き＝Vout の傾きとして突入電流を算出できる。ゲートの傾き 354V/s（t = −55〜+15ms、24.94V / 70.4ms）× 3628µF = 1.29A。2-3 から求めた 1.39A と 7% で一致。差は別トリガで撮った 2 枚の波形と帯の太さによる読み取り誤差の範囲。</t>
        </is>
      </c>
    </row>
    <row r="66" ht="42" customHeight="1" s="51">
      <c r="A66" s="93" t="inlineStr">
        <is>
          <t>■ ただし 2-4 の主測定は 2-3（Vout の傾き）とすること。C9＋C15 = 44nF は GATE−GND 間なので、ゲートの傾きは dVgate/dt = I_gate ÷ (C9+C15) であり、Vout が実際に追従しているかとは無関係に一定になる。実際、Vout 飽和後の区間 355V/s とミラー期間 354V/s がほぼ同一で、ゲート波形だけでは両者の境目が判別しにくい。電流制限不足で Vout がゲートに追従できていない状態（2026-10-08 午前の測定）を、2-2 だけでは検出できない。</t>
        </is>
      </c>
    </row>
    <row r="67" ht="42" customHeight="1" s="51">
      <c r="A67" s="93" t="inlineStr">
        <is>
          <t>■ 運用：2-3 を主測定、2-2 からの算出をクロスチェックとする。両者が一致すれば「ゲート駆動も負荷追従も正常」と二重に確認できる。</t>
        </is>
      </c>
    </row>
  </sheetData>
  <mergeCells count="29">
    <mergeCell ref="A67:H67"/>
    <mergeCell ref="A48:H48"/>
    <mergeCell ref="A39:H39"/>
    <mergeCell ref="A59:H59"/>
    <mergeCell ref="A27:F27"/>
    <mergeCell ref="A60:H60"/>
    <mergeCell ref="A36:H36"/>
    <mergeCell ref="A49:H49"/>
    <mergeCell ref="A45:H45"/>
    <mergeCell ref="A26:F26"/>
    <mergeCell ref="A61:H61"/>
    <mergeCell ref="A65:H65"/>
    <mergeCell ref="A66:H66"/>
    <mergeCell ref="A46:H46"/>
    <mergeCell ref="A37:H37"/>
    <mergeCell ref="A29:F29"/>
    <mergeCell ref="A28:F28"/>
    <mergeCell ref="A42:H42"/>
    <mergeCell ref="A33:H33"/>
    <mergeCell ref="A47:H47"/>
    <mergeCell ref="A32:H32"/>
    <mergeCell ref="A24:F24"/>
    <mergeCell ref="A62:H62"/>
    <mergeCell ref="A35:H35"/>
    <mergeCell ref="A43:H43"/>
    <mergeCell ref="A38:H38"/>
    <mergeCell ref="A44:H44"/>
    <mergeCell ref="A25:F25"/>
    <mergeCell ref="A34:H34"/>
  </mergeCells>
  <dataValidations count="1">
    <dataValidation sqref="H5:H9"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I3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50" min="1" max="1"/>
    <col width="20" customWidth="1" style="50" min="2" max="2"/>
    <col width="34" customWidth="1" style="50" min="3" max="3"/>
    <col width="16" customWidth="1" style="50" min="4" max="4"/>
    <col width="26" customWidth="1" style="50" min="5" max="5"/>
    <col width="7" customWidth="1" style="50" min="6" max="6"/>
    <col width="12" customWidth="1" style="50" min="7" max="7"/>
    <col width="9" customWidth="1" style="50" min="8" max="8"/>
    <col width="26" customWidth="1" style="50" min="9" max="9"/>
  </cols>
  <sheetData>
    <row r="1" ht="21" customHeight="1" s="51">
      <c r="A1" s="52" t="inlineStr">
        <is>
          <t>3_熱特性</t>
        </is>
      </c>
    </row>
    <row r="2" ht="13.5" customHeight="1" s="51">
      <c r="A2" s="64" t="inlineStr">
        <is>
          <t>熱電対は Q1 のパッケージ表面と、TH1 直近の銅島（部品本体ではない）に貼る。R11 はサーマルカメラで測る。</t>
        </is>
      </c>
    </row>
    <row r="4" ht="30" customHeight="1" s="51">
      <c r="A4" s="65" t="inlineStr">
        <is>
          <t>No.</t>
        </is>
      </c>
      <c r="B4" s="66" t="inlineStr">
        <is>
          <t>項目</t>
        </is>
      </c>
      <c r="C4" s="66" t="inlineStr">
        <is>
          <t>手順・条件</t>
        </is>
      </c>
      <c r="D4" s="66" t="inlineStr">
        <is>
          <t>測定点</t>
        </is>
      </c>
      <c r="E4" s="66" t="inlineStr">
        <is>
          <t>設計値・判定基準</t>
        </is>
      </c>
      <c r="F4" s="66" t="inlineStr">
        <is>
          <t>単位</t>
        </is>
      </c>
      <c r="G4" s="66" t="inlineStr">
        <is>
          <t>実測値</t>
        </is>
      </c>
      <c r="H4" s="66" t="inlineStr">
        <is>
          <t>判定</t>
        </is>
      </c>
      <c r="I4" s="66" t="inlineStr">
        <is>
          <t>備考</t>
        </is>
      </c>
    </row>
    <row r="5" ht="30" customHeight="1" s="51">
      <c r="A5" s="67" t="inlineStr">
        <is>
          <t>3-1</t>
        </is>
      </c>
      <c r="B5" s="62" t="inlineStr">
        <is>
          <t>筐体内周囲温度</t>
        </is>
      </c>
      <c r="C5" s="62" t="inlineStr">
        <is>
          <t>実機を筐体に組み込み、走行後に測定</t>
        </is>
      </c>
      <c r="D5" s="68" t="inlineStr">
        <is>
          <t>筐体内</t>
        </is>
      </c>
      <c r="E5" s="62" t="inlineStr">
        <is>
          <t>記録のみ（R5 決定の根拠）</t>
        </is>
      </c>
      <c r="F5" s="67" t="inlineStr">
        <is>
          <t>℃</t>
        </is>
      </c>
      <c r="G5" s="69" t="n"/>
      <c r="H5" s="69" t="n"/>
      <c r="I5" s="69" t="n"/>
    </row>
    <row r="6" ht="30" customHeight="1" s="51">
      <c r="A6" s="67" t="inlineStr">
        <is>
          <t>3-2</t>
        </is>
      </c>
      <c r="B6" s="62" t="inlineStr">
        <is>
          <t>通常走行 Q1 温度</t>
        </is>
      </c>
      <c r="C6" s="63" t="inlineStr">
        <is>
          <t>8A 走行時、熱電対 Ch1</t>
        </is>
      </c>
      <c r="D6" s="67" t="inlineStr">
        <is>
          <t>Q1 パッケージ</t>
        </is>
      </c>
      <c r="E6" s="62" t="inlineStr">
        <is>
          <t>周囲＋16℃ 程度</t>
        </is>
      </c>
      <c r="F6" s="67" t="inlineStr">
        <is>
          <t>℃</t>
        </is>
      </c>
      <c r="G6" s="69" t="n"/>
      <c r="H6" s="69" t="n"/>
      <c r="I6" s="69" t="n"/>
    </row>
    <row r="7" ht="30" customHeight="1" s="51">
      <c r="A7" s="67" t="inlineStr">
        <is>
          <t>3-3</t>
        </is>
      </c>
      <c r="B7" s="62" t="inlineStr">
        <is>
          <t>通常走行 TH1 温度</t>
        </is>
      </c>
      <c r="C7" s="62" t="inlineStr">
        <is>
          <t>同時測定、熱電対 Ch2</t>
        </is>
      </c>
      <c r="D7" s="67" t="inlineStr">
        <is>
          <t>TH1 直近の銅島</t>
        </is>
      </c>
      <c r="E7" s="62" t="inlineStr">
        <is>
          <t>遮断点 100℃ に対し 25℃ 以上の余裕</t>
        </is>
      </c>
      <c r="F7" s="67" t="inlineStr">
        <is>
          <t>℃</t>
        </is>
      </c>
      <c r="G7" s="69" t="n"/>
      <c r="H7" s="69" t="n"/>
      <c r="I7" s="69" t="n"/>
    </row>
    <row r="8" ht="30" customHeight="1" s="51">
      <c r="A8" s="67" t="inlineStr">
        <is>
          <t>3-4</t>
        </is>
      </c>
      <c r="B8" s="62" t="inlineStr">
        <is>
          <t>ストール時 Q1 温度</t>
        </is>
      </c>
      <c r="C8" s="62" t="inlineStr">
        <is>
          <t>車輪を押さえて 25A、同時測定</t>
        </is>
      </c>
      <c r="D8" s="67" t="inlineStr">
        <is>
          <t>Q1 パッケージ</t>
        </is>
      </c>
      <c r="E8" s="62" t="inlineStr">
        <is>
          <t>記録のみ</t>
        </is>
      </c>
      <c r="F8" s="67" t="inlineStr">
        <is>
          <t>℃</t>
        </is>
      </c>
      <c r="G8" s="69" t="n"/>
      <c r="H8" s="69" t="n"/>
      <c r="I8" s="69" t="n"/>
    </row>
    <row r="9" ht="30" customHeight="1" s="51">
      <c r="A9" s="67" t="inlineStr">
        <is>
          <t>3-5</t>
        </is>
      </c>
      <c r="B9" s="62" t="inlineStr">
        <is>
          <t>ストール時 TH1 温度</t>
        </is>
      </c>
      <c r="C9" s="62" t="inlineStr">
        <is>
          <t>同上</t>
        </is>
      </c>
      <c r="D9" s="67" t="inlineStr">
        <is>
          <t>TH1 直近の銅島</t>
        </is>
      </c>
      <c r="E9" s="62" t="inlineStr">
        <is>
          <t>記録のみ</t>
        </is>
      </c>
      <c r="F9" s="67" t="inlineStr">
        <is>
          <t>℃</t>
        </is>
      </c>
      <c r="G9" s="69" t="n"/>
      <c r="H9" s="69" t="n"/>
      <c r="I9" s="69" t="n"/>
    </row>
    <row r="10" ht="30" customHeight="1" s="51">
      <c r="A10" s="67" t="inlineStr">
        <is>
          <t>3-6</t>
        </is>
      </c>
      <c r="B10" s="62" t="inlineStr">
        <is>
          <t>ストール電流</t>
        </is>
      </c>
      <c r="C10" s="62" t="inlineStr">
        <is>
          <t>同上、クランプメータ</t>
        </is>
      </c>
      <c r="D10" s="68" t="inlineStr">
        <is>
          <t>入力配線</t>
        </is>
      </c>
      <c r="E10" s="63" t="inlineStr">
        <is>
          <t>25A 前後</t>
        </is>
      </c>
      <c r="F10" s="67" t="inlineStr">
        <is>
          <t>A</t>
        </is>
      </c>
      <c r="G10" s="69" t="n"/>
      <c r="H10" s="69" t="n"/>
      <c r="I10" s="69" t="n"/>
    </row>
    <row r="11" ht="30" customHeight="1" s="51">
      <c r="A11" s="67" t="inlineStr">
        <is>
          <t>3-7</t>
        </is>
      </c>
      <c r="B11" s="62" t="inlineStr">
        <is>
          <t>遮断までの時間</t>
        </is>
      </c>
      <c r="C11" s="63" t="inlineStr">
        <is>
          <t>3-4 を継続し、Q3 が OFF するまで</t>
        </is>
      </c>
      <c r="D11" s="67" t="inlineStr">
        <is>
          <t>TP10 / TP19</t>
        </is>
      </c>
      <c r="E11" s="62" t="inlineStr">
        <is>
          <t>記録のみ</t>
        </is>
      </c>
      <c r="F11" s="68" t="inlineStr">
        <is>
          <t>秒</t>
        </is>
      </c>
      <c r="G11" s="69" t="n"/>
      <c r="H11" s="69" t="n"/>
      <c r="I11" s="69" t="n"/>
    </row>
    <row r="12" ht="51.75" customHeight="1" s="51">
      <c r="A12" s="67" t="inlineStr">
        <is>
          <t>3-8</t>
        </is>
      </c>
      <c r="B12" s="63" t="inlineStr">
        <is>
          <t>R11 フランジ温度</t>
        </is>
      </c>
      <c r="C12" s="62" t="inlineStr">
        <is>
          <t>チョッパ連続導通（32.2V で 5.2W）、サーマルカメラ。温度が止まるまで観測</t>
        </is>
      </c>
      <c r="D12" s="67" t="inlineStr">
        <is>
          <t>R11 フランジ</t>
        </is>
      </c>
      <c r="E12" s="62" t="inlineStr">
        <is>
          <t>周囲＋95℃ 以上（実効熱抵抗 18℃/W 前後・実測）。平衡するまで数分かかる。120℃ を超えたら中止</t>
        </is>
      </c>
      <c r="F12" s="67" t="inlineStr">
        <is>
          <t>℃</t>
        </is>
      </c>
      <c r="G12" s="69" t="n"/>
      <c r="H12" s="69" t="n"/>
      <c r="I12" s="69" t="n"/>
    </row>
    <row r="13" ht="30" customHeight="1" s="51">
      <c r="A13" s="67" t="inlineStr">
        <is>
          <t>3-9</t>
        </is>
      </c>
      <c r="B13" s="62" t="inlineStr">
        <is>
          <t>同時の TH1 温度</t>
        </is>
      </c>
      <c r="C13" s="62" t="inlineStr">
        <is>
          <t>同上</t>
        </is>
      </c>
      <c r="D13" s="67" t="inlineStr">
        <is>
          <t>TH1 直近の銅島</t>
        </is>
      </c>
      <c r="E13" s="62" t="inlineStr">
        <is>
          <t>ほぼ周囲温度のまま（v2.0.0 実測で確認済み。TH1 は R11 の過熱を検出しない）</t>
        </is>
      </c>
      <c r="F13" s="67" t="inlineStr">
        <is>
          <t>℃</t>
        </is>
      </c>
      <c r="G13" s="69" t="n"/>
      <c r="H13" s="69" t="n"/>
      <c r="I13" s="69" t="n"/>
    </row>
    <row r="14" ht="30" customHeight="1" s="51">
      <c r="A14" s="67" t="inlineStr">
        <is>
          <t>3-10</t>
        </is>
      </c>
      <c r="B14" s="63" t="inlineStr">
        <is>
          <t>C7 表面温度</t>
        </is>
      </c>
      <c r="C14" s="62" t="inlineStr">
        <is>
          <t>同上</t>
        </is>
      </c>
      <c r="D14" s="67" t="inlineStr">
        <is>
          <t>C7 表面</t>
        </is>
      </c>
      <c r="E14" s="62" t="inlineStr">
        <is>
          <t>電解の寿命確認。周囲＋数℃ に留まること</t>
        </is>
      </c>
      <c r="F14" s="67" t="inlineStr">
        <is>
          <t>℃</t>
        </is>
      </c>
      <c r="G14" s="69" t="n"/>
      <c r="H14" s="69" t="n"/>
      <c r="I14" s="69" t="n"/>
    </row>
    <row r="16" ht="15" customHeight="1" s="51">
      <c r="A16" s="54" t="inlineStr">
        <is>
          <t>温度オフセット（自動計算）</t>
        </is>
      </c>
    </row>
    <row r="17" ht="16.5" customHeight="1" s="51">
      <c r="A17" s="66" t="inlineStr">
        <is>
          <t>項目</t>
        </is>
      </c>
      <c r="B17" s="66" t="inlineStr">
        <is>
          <t>計算式</t>
        </is>
      </c>
      <c r="C17" s="66" t="inlineStr">
        <is>
          <t>値</t>
        </is>
      </c>
      <c r="D17" s="66" t="inlineStr">
        <is>
          <t>設計想定</t>
        </is>
      </c>
      <c r="E17" s="66" t="inlineStr">
        <is>
          <t>判定</t>
        </is>
      </c>
    </row>
    <row r="18" ht="54.75" customHeight="1" s="51">
      <c r="A18" s="63" t="inlineStr">
        <is>
          <t>Q1 − TH1（ストール時）</t>
        </is>
      </c>
      <c r="B18" s="63" t="inlineStr">
        <is>
          <t>3-4 − 3-5</t>
        </is>
      </c>
      <c r="C18" s="73">
        <f>IF(COUNT(G8,G9)=2,G8-G9,"")</f>
        <v/>
      </c>
      <c r="D18" s="63" t="inlineStr">
        <is>
          <t>29℃（1oz）</t>
        </is>
      </c>
      <c r="E18" s="62" t="n"/>
    </row>
    <row r="19" ht="69" customHeight="1" s="51">
      <c r="A19" s="63" t="inlineStr">
        <is>
          <t>R11 − TH1（チョッパ動作時）</t>
        </is>
      </c>
      <c r="B19" s="63" t="inlineStr">
        <is>
          <t>3-8 − 3-9</t>
        </is>
      </c>
      <c r="C19" s="73">
        <f>IF(COUNT(G12,G13)=2,G12-G13,"")</f>
        <v/>
      </c>
      <c r="D19" s="62" t="inlineStr">
        <is>
          <t>大きく開く（TH1 は R11 を検出しない）</t>
        </is>
      </c>
      <c r="E19" s="62" t="n"/>
    </row>
    <row r="21" ht="15" customHeight="1" s="51">
      <c r="A21" s="72" t="inlineStr">
        <is>
          <t>R5 の決定表</t>
        </is>
      </c>
    </row>
    <row r="22" ht="32.25" customHeight="1" s="51">
      <c r="A22" s="66" t="inlineStr">
        <is>
          <t>実測結果</t>
        </is>
      </c>
      <c r="B22" s="65" t="inlineStr">
        <is>
          <t>R5</t>
        </is>
      </c>
      <c r="C22" s="66" t="inlineStr">
        <is>
          <t>遮断温度</t>
        </is>
      </c>
      <c r="D22" s="66" t="inlineStr">
        <is>
          <t>備考</t>
        </is>
      </c>
    </row>
    <row r="23" ht="86.25" customHeight="1" s="51">
      <c r="A23" s="62" t="inlineStr">
        <is>
          <t>周囲 45℃ 以下、通常走行で余裕十分</t>
        </is>
      </c>
      <c r="B23" s="63" t="inlineStr">
        <is>
          <t>19.6kΩ</t>
        </is>
      </c>
      <c r="C23" s="62" t="inlineStr">
        <is>
          <t>約 90℃</t>
        </is>
      </c>
      <c r="D23" s="62" t="inlineStr">
        <is>
          <t>保護を強化</t>
        </is>
      </c>
    </row>
    <row r="24" ht="86.25" customHeight="1" s="51">
      <c r="A24" s="62" t="inlineStr">
        <is>
          <t>周囲 50〜65℃、通常走行で余裕あり</t>
        </is>
      </c>
      <c r="B24" s="63" t="inlineStr">
        <is>
          <t>14.7kΩ（現状）</t>
        </is>
      </c>
      <c r="C24" s="62" t="inlineStr">
        <is>
          <t>約 100℃</t>
        </is>
      </c>
      <c r="D24" s="62" t="inlineStr">
        <is>
          <t>変更不要</t>
        </is>
      </c>
    </row>
    <row r="25" ht="57.75" customHeight="1" s="51">
      <c r="A25" s="62" t="inlineStr">
        <is>
          <t>通常走行で TH1 が 75℃ 超</t>
        </is>
      </c>
      <c r="B25" s="63" t="inlineStr">
        <is>
          <t>11.3kΩ</t>
        </is>
      </c>
      <c r="C25" s="62" t="inlineStr">
        <is>
          <t>約 110℃</t>
        </is>
      </c>
      <c r="D25" s="62" t="inlineStr">
        <is>
          <t>放熱・筐体も見直し</t>
        </is>
      </c>
    </row>
    <row r="26" ht="43.5" customHeight="1" s="51">
      <c r="A26" s="62" t="inlineStr">
        <is>
          <t>オフセットが 40℃ 超</t>
        </is>
      </c>
      <c r="B26" s="63" t="inlineStr">
        <is>
          <t>R5 を上げる</t>
        </is>
      </c>
      <c r="C26" s="62" t="inlineStr">
        <is>
          <t>遮断点を下げる</t>
        </is>
      </c>
      <c r="D26" s="63" t="inlineStr">
        <is>
          <t>TH1 を FET に近づける検討も</t>
        </is>
      </c>
    </row>
    <row r="27" ht="282" customHeight="1" s="51">
      <c r="A27" s="70" t="inlineStr">
        <is>
          <t>※ v2.0.0 の実測では、R11 が 111.5℃ のとき基板中央は 34.1℃、周囲 29.9℃ でした。熱は R11 の周辺 15mm 程度に留まり、TH1 には届きません。既存のサーマル遮断は R11 の過熱をカバーしません。</t>
        </is>
      </c>
    </row>
    <row r="28" ht="280.5" customHeight="1" s="51">
      <c r="A28" s="71" t="inlineStr">
        <is>
          <t>※ 実効熱抵抗は当初 5.8℃/W（v2.0.0・14.1W・飽和前の値）と見積もっていましたが、v2.1.1 の実測（32.5V / 5.28W で 120℃ に達しても平衡せず）から 18℃/W 前後と判明しました。自然対流は温度差に対して非線形で、低電力域ほど単位電力あたりの熱抵抗が悪化します。</t>
        </is>
      </c>
    </row>
    <row r="29" ht="204" customHeight="1" s="51">
      <c r="A29" s="71" t="inlineStr">
        <is>
          <t>※ この熱抵抗では、R11 = 200Ω の連続導通時に周囲 65℃ で平衡 158℃ となり、最高使用温度 150℃ を超えます。「fail-on でも壊れない」という当初の設計目標は 200Ω では達成できていません。</t>
        </is>
      </c>
    </row>
    <row r="30" ht="392.25" customHeight="1" s="51">
      <c r="A30" s="71" t="inlineStr">
        <is>
          <t>※ ただし正常動作でチョッパが連続導通することはなく、回生は 1〜2.5 秒で終わります。連続導通が起きるのは Q5 または Q4 の短絡故障時のみです。R11 の最終値は 6-6 / 6-7 の回生プロファイル実測で決めます。</t>
        </is>
      </c>
    </row>
    <row r="31" ht="153" customHeight="1" s="51">
      <c r="A31" s="70" t="inlineStr">
        <is>
          <t>※ 3-8 はサーマルカメラの外殻温度です。フランジ温度はこれより高くなります。</t>
        </is>
      </c>
    </row>
  </sheetData>
  <dataValidations count="1">
    <dataValidation sqref="H5:H14"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I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50" min="1" max="1"/>
    <col width="20" customWidth="1" style="50" min="2" max="2"/>
    <col width="34" customWidth="1" style="50" min="3" max="3"/>
    <col width="16" customWidth="1" style="50" min="4" max="4"/>
    <col width="26" customWidth="1" style="50" min="5" max="5"/>
    <col width="7" customWidth="1" style="50" min="6" max="6"/>
    <col width="12" customWidth="1" style="50" min="7" max="7"/>
    <col width="9" customWidth="1" style="50" min="8" max="8"/>
    <col width="26" customWidth="1" style="50" min="9" max="9"/>
  </cols>
  <sheetData>
    <row r="1" ht="21" customHeight="1" s="51">
      <c r="A1" s="52" t="inlineStr">
        <is>
          <t>4_保護機能</t>
        </is>
      </c>
    </row>
    <row r="2" ht="27.75" customHeight="1" s="51">
      <c r="A2" s="74" t="inlineStr">
        <is>
          <t>判定は温度ではなく EN 電圧で行う。遮断点の温度は個体の EN しきい値で決まるため、9_ENしきい値選別 で算出すること。</t>
        </is>
      </c>
    </row>
    <row r="4" ht="30" customHeight="1" s="51">
      <c r="A4" s="65" t="inlineStr">
        <is>
          <t>No.</t>
        </is>
      </c>
      <c r="B4" s="66" t="inlineStr">
        <is>
          <t>項目</t>
        </is>
      </c>
      <c r="C4" s="66" t="inlineStr">
        <is>
          <t>手順・条件</t>
        </is>
      </c>
      <c r="D4" s="66" t="inlineStr">
        <is>
          <t>測定点</t>
        </is>
      </c>
      <c r="E4" s="66" t="inlineStr">
        <is>
          <t>設計値・判定基準</t>
        </is>
      </c>
      <c r="F4" s="66" t="inlineStr">
        <is>
          <t>単位</t>
        </is>
      </c>
      <c r="G4" s="66" t="inlineStr">
        <is>
          <t>実測値</t>
        </is>
      </c>
      <c r="H4" s="66" t="inlineStr">
        <is>
          <t>判定</t>
        </is>
      </c>
      <c r="I4" s="66" t="inlineStr">
        <is>
          <t>備考</t>
        </is>
      </c>
    </row>
    <row r="5" ht="31.5" customHeight="1" s="51">
      <c r="A5" s="67" t="inlineStr">
        <is>
          <t>4-1</t>
        </is>
      </c>
      <c r="B5" s="75" t="inlineStr">
        <is>
          <t>遮断の確認</t>
        </is>
      </c>
      <c r="C5" s="75" t="inlineStr">
        <is>
          <t>ヒートガンで TH1 を加熱</t>
        </is>
      </c>
      <c r="D5" s="67" t="inlineStr">
        <is>
          <t>TP10 / TP19</t>
        </is>
      </c>
      <c r="E5" s="63" t="inlineStr">
        <is>
          <t>Vout が落ちること</t>
        </is>
      </c>
      <c r="F5" s="67" t="inlineStr">
        <is>
          <t>—</t>
        </is>
      </c>
      <c r="G5" s="69" t="n"/>
      <c r="H5" s="69" t="n"/>
      <c r="I5" s="69" t="n"/>
    </row>
    <row r="6" ht="31.5" customHeight="1" s="51">
      <c r="A6" s="67" t="inlineStr">
        <is>
          <t>4-2</t>
        </is>
      </c>
      <c r="B6" s="75" t="inlineStr">
        <is>
          <t>遮断時の EN 電圧</t>
        </is>
      </c>
      <c r="C6" s="75" t="inlineStr">
        <is>
          <t>落ちた瞬間の TP7 を記録</t>
        </is>
      </c>
      <c r="D6" s="67" t="inlineStr">
        <is>
          <t>TP7 / TP2</t>
        </is>
      </c>
      <c r="E6" s="63" t="inlineStr">
        <is>
          <t>1.15〜1.50V（R5 = 3.0kΩ 前提）</t>
        </is>
      </c>
      <c r="F6" s="67" t="inlineStr">
        <is>
          <t>V</t>
        </is>
      </c>
      <c r="G6" s="69" t="n"/>
      <c r="H6" s="69" t="n"/>
      <c r="I6" s="69" t="n"/>
    </row>
    <row r="7" ht="31.5" customHeight="1" s="51">
      <c r="A7" s="67" t="inlineStr">
        <is>
          <t>4-3</t>
        </is>
      </c>
      <c r="B7" s="75" t="inlineStr">
        <is>
          <t>自動復帰の確認</t>
        </is>
      </c>
      <c r="C7" s="75" t="inlineStr">
        <is>
          <t>加熱をやめて冷却する</t>
        </is>
      </c>
      <c r="D7" s="67" t="inlineStr">
        <is>
          <t>TP10 / TP19</t>
        </is>
      </c>
      <c r="E7" s="63" t="inlineStr">
        <is>
          <t>Vout が戻ること</t>
        </is>
      </c>
      <c r="F7" s="67" t="inlineStr">
        <is>
          <t>—</t>
        </is>
      </c>
      <c r="G7" s="69" t="n"/>
      <c r="H7" s="69" t="n"/>
      <c r="I7" s="69" t="n"/>
    </row>
    <row r="8" ht="31.5" customHeight="1" s="51">
      <c r="A8" s="67" t="inlineStr">
        <is>
          <t>4-4</t>
        </is>
      </c>
      <c r="B8" s="75" t="inlineStr">
        <is>
          <t>復帰時の EN 電圧</t>
        </is>
      </c>
      <c r="C8" s="75" t="inlineStr">
        <is>
          <t>戻った瞬間の TP7 を記録</t>
        </is>
      </c>
      <c r="D8" s="67" t="inlineStr">
        <is>
          <t>TP7 / TP2</t>
        </is>
      </c>
      <c r="E8" s="63" t="inlineStr">
        <is>
          <t>4-2 ＋ 150〜300mV</t>
        </is>
      </c>
      <c r="F8" s="67" t="inlineStr">
        <is>
          <t>V</t>
        </is>
      </c>
      <c r="G8" s="69" t="n"/>
      <c r="H8" s="69" t="n"/>
      <c r="I8" s="69" t="n"/>
    </row>
    <row r="9" ht="31.5" customHeight="1" s="51">
      <c r="A9" s="67" t="inlineStr">
        <is>
          <t>4-5</t>
        </is>
      </c>
      <c r="B9" s="75" t="inlineStr">
        <is>
          <t>遮断時の TH1 温度（参考）</t>
        </is>
      </c>
      <c r="C9" s="75" t="inlineStr">
        <is>
          <t>サーマルカメラまたは熱電対</t>
        </is>
      </c>
      <c r="D9" s="67" t="inlineStr">
        <is>
          <t>TH1 本体</t>
        </is>
      </c>
      <c r="E9" s="75" t="inlineStr">
        <is>
          <t>参考記録のみ。判定には使わない</t>
        </is>
      </c>
      <c r="F9" s="67" t="inlineStr">
        <is>
          <t>℃</t>
        </is>
      </c>
      <c r="G9" s="69" t="n"/>
      <c r="H9" s="69" t="n"/>
      <c r="I9" s="69" t="n"/>
    </row>
    <row r="10" ht="31.5" customHeight="1" s="51">
      <c r="A10" s="67" t="inlineStr">
        <is>
          <t>4-6</t>
        </is>
      </c>
      <c r="B10" s="75" t="inlineStr">
        <is>
          <t>常時 ON 時の EN 電圧</t>
        </is>
      </c>
      <c r="C10" s="63" t="inlineStr">
        <is>
          <t>25℃、VBUS 29.4V</t>
        </is>
      </c>
      <c r="D10" s="67" t="inlineStr">
        <is>
          <t>TP7 / TP2</t>
        </is>
      </c>
      <c r="E10" s="63" t="inlineStr">
        <is>
          <t>3.2V 前後（D8 クランプ）</t>
        </is>
      </c>
      <c r="F10" s="67" t="inlineStr">
        <is>
          <t>V</t>
        </is>
      </c>
      <c r="G10" s="69" t="n"/>
      <c r="H10" s="69" t="n"/>
      <c r="I10" s="69" t="n"/>
    </row>
    <row r="11" ht="31.5" customHeight="1" s="51">
      <c r="A11" s="67" t="inlineStr">
        <is>
          <t>4-7</t>
        </is>
      </c>
      <c r="B11" s="75" t="inlineStr">
        <is>
          <t>ホットスワップ</t>
        </is>
      </c>
      <c r="C11" s="63" t="inlineStr">
        <is>
          <t>J2 にパックを追加接続</t>
        </is>
      </c>
      <c r="D11" s="67" t="inlineStr">
        <is>
          <t>TP4 / TP17</t>
        </is>
      </c>
      <c r="E11" s="75" t="inlineStr">
        <is>
          <t>アークの程度、電圧降下を記録</t>
        </is>
      </c>
      <c r="F11" s="67" t="inlineStr">
        <is>
          <t>V</t>
        </is>
      </c>
      <c r="G11" s="69" t="n"/>
      <c r="H11" s="69" t="n"/>
      <c r="I11" s="69" t="n"/>
    </row>
    <row r="12" ht="31.5" customHeight="1" s="51">
      <c r="A12" s="67" t="inlineStr">
        <is>
          <t>4-8</t>
        </is>
      </c>
      <c r="B12" s="75" t="inlineStr">
        <is>
          <t>逆流阻止</t>
        </is>
      </c>
      <c r="C12" s="75" t="inlineStr">
        <is>
          <t>一方のパックを外す</t>
        </is>
      </c>
      <c r="D12" s="67" t="inlineStr">
        <is>
          <t>TP10 / TP19</t>
        </is>
      </c>
      <c r="E12" s="75" t="inlineStr">
        <is>
          <t>他方から給電が継続すること</t>
        </is>
      </c>
      <c r="F12" s="67" t="inlineStr">
        <is>
          <t>—</t>
        </is>
      </c>
      <c r="G12" s="69" t="n"/>
      <c r="H12" s="69" t="n"/>
      <c r="I12" s="69" t="n"/>
    </row>
    <row r="13" ht="31.5" customHeight="1" s="51">
      <c r="A13" s="67" t="inlineStr">
        <is>
          <t>4-9</t>
        </is>
      </c>
      <c r="B13" s="63" t="inlineStr">
        <is>
          <t>OCP（任意）</t>
        </is>
      </c>
      <c r="C13" s="75" t="inlineStr">
        <is>
          <t>意図的な過電流。危険なため慎重に</t>
        </is>
      </c>
      <c r="D13" s="67" t="inlineStr">
        <is>
          <t>TP10 / TP19</t>
        </is>
      </c>
      <c r="E13" s="75" t="inlineStr">
        <is>
          <t>ラッチオフし、非常停止の押下＋解除で復帰</t>
        </is>
      </c>
      <c r="F13" s="67" t="inlineStr">
        <is>
          <t>A</t>
        </is>
      </c>
      <c r="G13" s="69" t="n"/>
      <c r="H13" s="69" t="n"/>
      <c r="I13" s="69" t="n"/>
    </row>
    <row r="14" ht="204" customHeight="1" s="51">
      <c r="A14" s="76" t="n"/>
      <c r="B14" s="59" t="n"/>
      <c r="C14" s="59" t="n"/>
      <c r="D14" s="59" t="n"/>
      <c r="E14" s="59" t="n"/>
      <c r="F14" s="59" t="n"/>
      <c r="G14" s="59" t="n"/>
      <c r="H14" s="59" t="n"/>
      <c r="I14" s="59" t="n"/>
    </row>
    <row r="15" ht="204" customHeight="1" s="51">
      <c r="A15" s="77" t="inlineStr">
        <is>
          <t>ヒステリシス（自動計算）</t>
        </is>
      </c>
      <c r="B15" s="59" t="n"/>
      <c r="C15" s="59" t="n"/>
      <c r="D15" s="59" t="n"/>
      <c r="E15" s="59" t="n"/>
      <c r="F15" s="59" t="n"/>
      <c r="G15" s="59" t="n"/>
      <c r="H15" s="59" t="n"/>
      <c r="I15" s="59" t="n"/>
    </row>
    <row r="16" ht="15" customHeight="1" s="51">
      <c r="A16" s="78" t="inlineStr">
        <is>
          <t>項目</t>
        </is>
      </c>
      <c r="B16" s="78" t="inlineStr">
        <is>
          <t>計算式</t>
        </is>
      </c>
      <c r="C16" s="78" t="inlineStr">
        <is>
          <t>値</t>
        </is>
      </c>
      <c r="D16" s="78" t="inlineStr">
        <is>
          <t>期待値</t>
        </is>
      </c>
      <c r="E16" s="59" t="n"/>
      <c r="F16" s="59" t="n"/>
      <c r="G16" s="59" t="n"/>
      <c r="H16" s="59" t="n"/>
      <c r="I16" s="59" t="n"/>
    </row>
    <row r="17" ht="44" customHeight="1" s="51">
      <c r="A17" s="63" t="inlineStr">
        <is>
          <t>EN ヒステリシス</t>
        </is>
      </c>
      <c r="B17" s="63" t="inlineStr">
        <is>
          <t>4-4 − 4-2</t>
        </is>
      </c>
      <c r="C17" s="79">
        <f>IF(COUNT(G6,G8)=2,(G8-G6)*1000,"")</f>
        <v/>
      </c>
      <c r="D17" s="63" t="inlineStr">
        <is>
          <t>200mV 前後（ENHYS typ）</t>
        </is>
      </c>
    </row>
    <row r="19" ht="638.8" customHeight="1" s="51">
      <c r="A19" s="70" t="inlineStr">
        <is>
          <t>※ v2.0.0 / v2.1.0 では「遮断 100.2℃ / 復帰 68.9℃」を判定基準としていましたが、前提ごと誤りでした。LM5060 の EN は比較器ではなくロジック入力で、データシートの 0.80V（ENTHL）と 2.00V（ENTHH）は「確実に Low / High と認識される保証値」です。実際のしきい値はその間の 1 点で、ヒステリシスは 200mV typ しかありません。</t>
        </is>
      </c>
    </row>
    <row r="20" ht="314.15" customHeight="1" s="51">
      <c r="A20" s="74" t="inlineStr">
        <is>
          <t>※ つまり 100.2℃ と 68.9℃ は、遮断点と復帰点ではなく「個体ばらつきの両端」でした。v2.1.1 の実測では EN しきい値 1.3V、温度ヒステリシスは約 6℃ です。</t>
        </is>
      </c>
    </row>
    <row r="21" ht="291" customHeight="1" s="51">
      <c r="A21" s="74" t="inlineStr">
        <is>
          <t>※ サーマルカメラによる温度測定は放射率と熱勾配で大きく外れます（真値 82℃ に対し 120℃ と表示されました）。4-5 は参考記録に留めてください。</t>
        </is>
      </c>
    </row>
    <row r="22" ht="204.45" customHeight="1" s="51">
      <c r="A22" s="70" t="inlineStr">
        <is>
          <t>※ 4-9 は必須ではありません。実施する場合は電流制限付き電源で行い、パックは使わないでください。</t>
        </is>
      </c>
    </row>
    <row r="23" ht="204.45" customHeight="1" s="51">
      <c r="A23" s="74" t="inlineStr">
        <is>
          <t>※ 充電状態の異なるパックで 4-8 を実施してください。満充電と放電末期の組み合わせが最悪条件です。</t>
        </is>
      </c>
    </row>
  </sheetData>
  <dataValidations count="1">
    <dataValidation sqref="H5:H13"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2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50" min="1" max="1"/>
    <col width="20" customWidth="1" style="50" min="2" max="2"/>
    <col width="34" customWidth="1" style="50" min="3" max="3"/>
    <col width="16" customWidth="1" style="50" min="4" max="4"/>
    <col width="26" customWidth="1" style="50" min="5" max="5"/>
    <col width="7" customWidth="1" style="50" min="6" max="6"/>
    <col width="12" customWidth="1" style="50" min="7" max="7"/>
    <col width="9" customWidth="1" style="50" min="8" max="8"/>
    <col width="26" customWidth="1" style="50" min="9" max="9"/>
  </cols>
  <sheetData>
    <row r="1" ht="21" customHeight="1" s="51">
      <c r="A1" s="52" t="inlineStr">
        <is>
          <t>5_ブレーキチョッパ</t>
        </is>
      </c>
    </row>
    <row r="2" ht="13.5" customHeight="1" s="51">
      <c r="A2" s="53" t="inlineStr">
        <is>
          <t>v2.1.1 では Q5（MMBT3906）による反転段で fail-off 構成。R10 の取り外しは不要です。</t>
        </is>
      </c>
    </row>
    <row r="4" ht="30" customHeight="1" s="51">
      <c r="A4" s="65" t="inlineStr">
        <is>
          <t>No.</t>
        </is>
      </c>
      <c r="B4" s="66" t="inlineStr">
        <is>
          <t>項目</t>
        </is>
      </c>
      <c r="C4" s="66" t="inlineStr">
        <is>
          <t>手順・条件</t>
        </is>
      </c>
      <c r="D4" s="66" t="inlineStr">
        <is>
          <t>測定点</t>
        </is>
      </c>
      <c r="E4" s="66" t="inlineStr">
        <is>
          <t>設計値・判定基準</t>
        </is>
      </c>
      <c r="F4" s="66" t="inlineStr">
        <is>
          <t>単位</t>
        </is>
      </c>
      <c r="G4" s="66" t="inlineStr">
        <is>
          <t>実測値</t>
        </is>
      </c>
      <c r="H4" s="66" t="inlineStr">
        <is>
          <t>判定</t>
        </is>
      </c>
      <c r="I4" s="66" t="inlineStr">
        <is>
          <t>備考</t>
        </is>
      </c>
    </row>
    <row r="5" ht="30" customHeight="1" s="51">
      <c r="A5" s="67" t="inlineStr">
        <is>
          <t>5-1</t>
        </is>
      </c>
      <c r="B5" s="63" t="inlineStr">
        <is>
          <t>12V レール</t>
        </is>
      </c>
      <c r="C5" s="63" t="inlineStr">
        <is>
          <t>Vout 29.4V、DMM</t>
        </is>
      </c>
      <c r="D5" s="67" t="inlineStr">
        <is>
          <t>TP8 / TP3</t>
        </is>
      </c>
      <c r="E5" s="63" t="inlineStr">
        <is>
          <t>12V ±5%（11.4〜12.6V）</t>
        </is>
      </c>
      <c r="F5" s="67" t="inlineStr">
        <is>
          <t>V</t>
        </is>
      </c>
      <c r="G5" s="69" t="n"/>
      <c r="H5" s="69" t="n"/>
      <c r="I5" s="69" t="n"/>
    </row>
    <row r="6" ht="30" customHeight="1" s="51">
      <c r="A6" s="67" t="inlineStr">
        <is>
          <t>5-2</t>
        </is>
      </c>
      <c r="B6" s="62" t="inlineStr">
        <is>
          <t>基準電圧</t>
        </is>
      </c>
      <c r="C6" s="62" t="inlineStr">
        <is>
          <t>同上</t>
        </is>
      </c>
      <c r="D6" s="67" t="inlineStr">
        <is>
          <t>TP11 / TP3</t>
        </is>
      </c>
      <c r="E6" s="63" t="inlineStr">
        <is>
          <t>2.495V ±0.5%</t>
        </is>
      </c>
      <c r="F6" s="67" t="inlineStr">
        <is>
          <t>V</t>
        </is>
      </c>
      <c r="G6" s="69" t="n"/>
      <c r="H6" s="69" t="n"/>
      <c r="I6" s="69" t="n"/>
    </row>
    <row r="7" ht="30" customHeight="1" s="51">
      <c r="A7" s="67" t="inlineStr">
        <is>
          <t>5-3</t>
        </is>
      </c>
      <c r="B7" s="62" t="inlineStr">
        <is>
          <t>分圧ノード</t>
        </is>
      </c>
      <c r="C7" s="62" t="inlineStr">
        <is>
          <t>同上</t>
        </is>
      </c>
      <c r="D7" s="67" t="inlineStr">
        <is>
          <t>TP15 / TP3</t>
        </is>
      </c>
      <c r="E7" s="63" t="inlineStr">
        <is>
          <t>Vout × 0.0774（29.4V で 2.28V）</t>
        </is>
      </c>
      <c r="F7" s="67" t="inlineStr">
        <is>
          <t>V</t>
        </is>
      </c>
      <c r="G7" s="69" t="n"/>
      <c r="H7" s="69" t="n"/>
      <c r="I7" s="69" t="n"/>
    </row>
    <row r="8" ht="45.75" customHeight="1" s="51">
      <c r="A8" s="67" t="inlineStr">
        <is>
          <t>5-4</t>
        </is>
      </c>
      <c r="B8" s="63" t="inlineStr">
        <is>
          <t>Q5 コレクタ（OFF）</t>
        </is>
      </c>
      <c r="C8" s="62" t="inlineStr">
        <is>
          <t>チョッパ非動作時</t>
        </is>
      </c>
      <c r="D8" s="67" t="inlineStr">
        <is>
          <t>TP23 / TP3</t>
        </is>
      </c>
      <c r="E8" s="63" t="inlineStr">
        <is>
          <t>Vout × 0.0077（29.4V で 226mV）。R14 経由で Chopper_Sense の電位が分圧されて現れる</t>
        </is>
      </c>
      <c r="F8" s="67" t="inlineStr">
        <is>
          <t>V</t>
        </is>
      </c>
      <c r="G8" s="69" t="n"/>
      <c r="H8" s="69" t="n"/>
      <c r="I8" s="69" t="n"/>
    </row>
    <row r="9" ht="45.75" customHeight="1" s="51">
      <c r="A9" s="67" t="inlineStr">
        <is>
          <t>5-5</t>
        </is>
      </c>
      <c r="B9" s="63" t="inlineStr">
        <is>
          <t>Q4 ゲート（OFF）</t>
        </is>
      </c>
      <c r="C9" s="62" t="inlineStr">
        <is>
          <t>同上</t>
        </is>
      </c>
      <c r="D9" s="67" t="inlineStr">
        <is>
          <t>TP9 / TP12</t>
        </is>
      </c>
      <c r="E9" s="63" t="inlineStr">
        <is>
          <t>Vout × 0.0070（29.4V で 206mV）。5-4 の値を R12 / R13 で分圧した値</t>
        </is>
      </c>
      <c r="F9" s="67" t="inlineStr">
        <is>
          <t>V</t>
        </is>
      </c>
      <c r="G9" s="69" t="n"/>
      <c r="H9" s="69" t="n"/>
      <c r="I9" s="69" t="n"/>
    </row>
    <row r="10" ht="30" customHeight="1" s="51">
      <c r="A10" s="67" t="inlineStr">
        <is>
          <t>5-6</t>
        </is>
      </c>
      <c r="B10" s="63" t="inlineStr">
        <is>
          <t>Q4 ドレイン（OFF）</t>
        </is>
      </c>
      <c r="C10" s="62" t="inlineStr">
        <is>
          <t>同上</t>
        </is>
      </c>
      <c r="D10" s="67" t="inlineStr">
        <is>
          <t>TP21 / TP12</t>
        </is>
      </c>
      <c r="E10" s="63" t="inlineStr">
        <is>
          <t>Vout と同電位</t>
        </is>
      </c>
      <c r="F10" s="67" t="inlineStr">
        <is>
          <t>V</t>
        </is>
      </c>
      <c r="G10" s="69" t="n"/>
      <c r="H10" s="69" t="n"/>
      <c r="I10" s="69" t="n"/>
    </row>
    <row r="11" ht="30" customHeight="1" s="51">
      <c r="A11" s="67" t="inlineStr">
        <is>
          <t>5-7</t>
        </is>
      </c>
      <c r="B11" s="62" t="inlineStr">
        <is>
          <t>チョッパ動作点</t>
        </is>
      </c>
      <c r="C11" s="62" t="inlineStr">
        <is>
          <t>電源電圧を 30V から慎重に上げる</t>
        </is>
      </c>
      <c r="D11" s="67" t="inlineStr">
        <is>
          <t>TP10 / TP19</t>
        </is>
      </c>
      <c r="E11" s="63" t="inlineStr">
        <is>
          <t>32.2V でクランプ開始</t>
        </is>
      </c>
      <c r="F11" s="67" t="inlineStr">
        <is>
          <t>V</t>
        </is>
      </c>
      <c r="G11" s="69" t="n"/>
      <c r="H11" s="69" t="n"/>
      <c r="I11" s="69" t="n"/>
    </row>
    <row r="12" ht="30" customHeight="1" s="51">
      <c r="A12" s="67" t="inlineStr">
        <is>
          <t>5-8</t>
        </is>
      </c>
      <c r="B12" s="62" t="inlineStr">
        <is>
          <t>チョッパ復帰点</t>
        </is>
      </c>
      <c r="C12" s="62" t="inlineStr">
        <is>
          <t>電圧を下げる</t>
        </is>
      </c>
      <c r="D12" s="67" t="inlineStr">
        <is>
          <t>TP10 / TP19</t>
        </is>
      </c>
      <c r="E12" s="63" t="inlineStr">
        <is>
          <t>30.8V で復帰</t>
        </is>
      </c>
      <c r="F12" s="67" t="inlineStr">
        <is>
          <t>V</t>
        </is>
      </c>
      <c r="G12" s="69" t="n"/>
      <c r="H12" s="69" t="n"/>
      <c r="I12" s="69" t="n"/>
    </row>
    <row r="13" ht="30" customHeight="1" s="51">
      <c r="A13" s="67" t="inlineStr">
        <is>
          <t>5-9</t>
        </is>
      </c>
      <c r="B13" s="63" t="inlineStr">
        <is>
          <t>Q5 コレクタ（ON）</t>
        </is>
      </c>
      <c r="C13" s="62" t="inlineStr">
        <is>
          <t>チョッパ動作中</t>
        </is>
      </c>
      <c r="D13" s="67" t="inlineStr">
        <is>
          <t>TP23 / TP3</t>
        </is>
      </c>
      <c r="E13" s="63" t="inlineStr">
        <is>
          <t>11.9V 付近</t>
        </is>
      </c>
      <c r="F13" s="67" t="inlineStr">
        <is>
          <t>V</t>
        </is>
      </c>
      <c r="G13" s="69" t="n"/>
      <c r="H13" s="69" t="n"/>
      <c r="I13" s="69" t="n"/>
    </row>
    <row r="14" ht="30" customHeight="1" s="51">
      <c r="A14" s="67" t="inlineStr">
        <is>
          <t>5-10</t>
        </is>
      </c>
      <c r="B14" s="63" t="inlineStr">
        <is>
          <t>Q4 ゲート（ON）</t>
        </is>
      </c>
      <c r="C14" s="62" t="inlineStr">
        <is>
          <t>同上</t>
        </is>
      </c>
      <c r="D14" s="67" t="inlineStr">
        <is>
          <t>TP9 / TP12</t>
        </is>
      </c>
      <c r="E14" s="63" t="inlineStr">
        <is>
          <t>10.9V 付近</t>
        </is>
      </c>
      <c r="F14" s="67" t="inlineStr">
        <is>
          <t>V</t>
        </is>
      </c>
      <c r="G14" s="69" t="n"/>
      <c r="H14" s="69" t="n"/>
      <c r="I14" s="69" t="n"/>
    </row>
    <row r="15" ht="30" customHeight="1" s="51">
      <c r="A15" s="67" t="inlineStr">
        <is>
          <t>5-11</t>
        </is>
      </c>
      <c r="B15" s="62" t="inlineStr">
        <is>
          <t>チョッパ電流</t>
        </is>
      </c>
      <c r="C15" s="63" t="inlineStr">
        <is>
          <t>R11 両端電圧から算出、または電源の電流表示</t>
        </is>
      </c>
      <c r="D15" s="67" t="inlineStr">
        <is>
          <t>R11 / TP21</t>
        </is>
      </c>
      <c r="E15" s="63" t="inlineStr">
        <is>
          <t>0.161A 前後（32.2V / 200Ω）</t>
        </is>
      </c>
      <c r="F15" s="67" t="inlineStr">
        <is>
          <t>A</t>
        </is>
      </c>
      <c r="G15" s="69" t="n"/>
      <c r="H15" s="69" t="n"/>
      <c r="I15" s="69" t="n"/>
    </row>
    <row r="16" ht="45.75" customHeight="1" s="51">
      <c r="A16" s="67" t="inlineStr">
        <is>
          <t>5-12</t>
        </is>
      </c>
      <c r="B16" s="63" t="inlineStr">
        <is>
          <t>R11 のフランジ温度</t>
        </is>
      </c>
      <c r="C16" s="63" t="inlineStr">
        <is>
          <t>5-7 の状態を数十秒継続</t>
        </is>
      </c>
      <c r="D16" s="67" t="inlineStr">
        <is>
          <t>R11 フランジ</t>
        </is>
      </c>
      <c r="E16" s="62" t="inlineStr">
        <is>
          <t>周囲＋20℃ 程度（数十秒時点）。連続導通では 150℃ を超えるため長時間続けないこと</t>
        </is>
      </c>
      <c r="F16" s="67" t="inlineStr">
        <is>
          <t>℃</t>
        </is>
      </c>
      <c r="G16" s="69" t="n"/>
      <c r="H16" s="69" t="n"/>
      <c r="I16" s="69" t="n"/>
    </row>
    <row r="18" ht="204" customHeight="1" s="51">
      <c r="A18" s="70" t="inlineStr">
        <is>
          <t>※ 5-7 は OVP 動作点 34.0V に近いため、電圧はゆっくり上げてください。確認できたら速やかに下げます。</t>
        </is>
      </c>
    </row>
    <row r="19" ht="339" customHeight="1" s="51">
      <c r="A19" s="70" t="inlineStr">
        <is>
          <t>※ v2.0.0 ではチョッパが fail-on 構成で、R20 の接続誤り（上端が 12V レールではなく分圧ノード）により VREF が立たず Q4 が常時オンになる不具合がありました。v2.1.0 で修正済みです。</t>
        </is>
      </c>
    </row>
    <row r="20" ht="341.25" customHeight="1" s="51">
      <c r="A20" s="70" t="inlineStr">
        <is>
          <t>※ v2.1.1 の fail-off 構成では、LM397 の故障・12V レール喪失・Q5 のオープン故障・R21 の断線のいずれでも Q4 はオフになります。ただし VREF の崩壊と Q5 / Q4 の短絡故障は fail-on のままです。</t>
        </is>
      </c>
    </row>
    <row r="21" ht="284.25" customHeight="1" s="51">
      <c r="A21" s="70" t="inlineStr">
        <is>
          <t>※ R11 の実効熱抵抗は 18℃/W 前後（v2.1.1 実測）。5.2W の連続導通では平衡温度が 120℃ を大きく超えます。5-7 / 5-12 は短時間で切り上げてください。</t>
        </is>
      </c>
    </row>
    <row r="22" ht="510.75" customHeight="1" s="51">
      <c r="A22" s="70" t="inlineStr">
        <is>
          <t>※ 5-4 / 5-5 は 0V ではありません。R14（1MΩ）がヒステリシス用に Chopper_Sense と Q5 のコレクタを繋いでいるため、チョッパ OFF でも Chopper_Sense の電位が R14 と R12+R13 で分圧されて現れます。Chopper_Sig = Vout × 0.0775 × 110k/(1000k+110k) = Vout × 0.0077。</t>
        </is>
      </c>
    </row>
    <row r="23" ht="349.5" customHeight="1" s="51">
      <c r="A23" s="71" t="inlineStr">
        <is>
          <t>※ この性質を使うと、TP23 の実測値から Vout を逆算できます（Vout ≒ TP23 ÷ 0.0077）。32.2V まで上げなくても、分圧回路と R14 の結線が設計どおりかを低電圧のまま検証できます。</t>
        </is>
      </c>
    </row>
    <row r="24" ht="336.75" customHeight="1" s="51">
      <c r="A24" s="70" t="inlineStr">
        <is>
          <t>※ Q5 がオフであることは、ベース（Chopper_SigBase）と エミッタ（TP8）の電位差がほぼゼロであることで確認できます。v2.1.1 の実測ではベース 12.05V / TP8 − TP23 間 11.7V でした。</t>
        </is>
      </c>
    </row>
  </sheetData>
  <dataValidations count="1">
    <dataValidation sqref="H5:H16"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I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50" min="1" max="1"/>
    <col width="20" customWidth="1" style="50" min="2" max="2"/>
    <col width="34" customWidth="1" style="50" min="3" max="3"/>
    <col width="16" customWidth="1" style="50" min="4" max="4"/>
    <col width="26" customWidth="1" style="50" min="5" max="5"/>
    <col width="7" customWidth="1" style="50" min="6" max="6"/>
    <col width="12" customWidth="1" style="50" min="7" max="7"/>
    <col width="9" customWidth="1" style="50" min="8" max="8"/>
    <col width="26" customWidth="1" style="50" min="9" max="9"/>
  </cols>
  <sheetData>
    <row r="1" ht="21" customHeight="1" s="51">
      <c r="A1" s="52" t="inlineStr">
        <is>
          <t>6_走行時総合</t>
        </is>
      </c>
    </row>
    <row r="2" ht="13.5" customHeight="1" s="51">
      <c r="A2" s="71" t="inlineStr">
        <is>
          <t>実走行状態での確認。6-6 / 6-7 は R11 の最終値を決める項目で、本シートの最優先事項です。</t>
        </is>
      </c>
    </row>
    <row r="4" ht="30" customHeight="1" s="51">
      <c r="A4" s="65" t="inlineStr">
        <is>
          <t>No.</t>
        </is>
      </c>
      <c r="B4" s="66" t="inlineStr">
        <is>
          <t>項目</t>
        </is>
      </c>
      <c r="C4" s="66" t="inlineStr">
        <is>
          <t>手順・条件</t>
        </is>
      </c>
      <c r="D4" s="66" t="inlineStr">
        <is>
          <t>測定点</t>
        </is>
      </c>
      <c r="E4" s="66" t="inlineStr">
        <is>
          <t>設計値・判定基準</t>
        </is>
      </c>
      <c r="F4" s="66" t="inlineStr">
        <is>
          <t>単位</t>
        </is>
      </c>
      <c r="G4" s="66" t="inlineStr">
        <is>
          <t>実測値</t>
        </is>
      </c>
      <c r="H4" s="66" t="inlineStr">
        <is>
          <t>判定</t>
        </is>
      </c>
      <c r="I4" s="66" t="inlineStr">
        <is>
          <t>備考</t>
        </is>
      </c>
    </row>
    <row r="5" ht="30" customHeight="1" s="51">
      <c r="A5" s="67" t="inlineStr">
        <is>
          <t>6-1</t>
        </is>
      </c>
      <c r="B5" s="62" t="inlineStr">
        <is>
          <t>バス電圧リプル</t>
        </is>
      </c>
      <c r="C5" s="62" t="inlineStr">
        <is>
          <t>走行中、AC カップリング</t>
        </is>
      </c>
      <c r="D5" s="67" t="inlineStr">
        <is>
          <t>TP4 / TP17</t>
        </is>
      </c>
      <c r="E5" s="63" t="inlineStr">
        <is>
          <t>18kHz 成分が 100mV 以下</t>
        </is>
      </c>
      <c r="F5" s="67" t="inlineStr">
        <is>
          <t>mV</t>
        </is>
      </c>
      <c r="G5" s="69" t="n"/>
      <c r="H5" s="69" t="n"/>
      <c r="I5" s="69" t="n"/>
    </row>
    <row r="6" ht="30" customHeight="1" s="51">
      <c r="A6" s="67" t="inlineStr">
        <is>
          <t>6-2</t>
        </is>
      </c>
      <c r="B6" s="63" t="inlineStr">
        <is>
          <t>Q1 ゲート波形</t>
        </is>
      </c>
      <c r="C6" s="62" t="inlineStr">
        <is>
          <t>走行中、Q1 のゲートを観測</t>
        </is>
      </c>
      <c r="D6" s="67" t="inlineStr">
        <is>
          <t>Q1 ゲート</t>
        </is>
      </c>
      <c r="E6" s="63" t="inlineStr">
        <is>
          <t>25ms 周期のリフレッシュのみ。周期外の落ち込みが無いこと</t>
        </is>
      </c>
      <c r="F6" s="67" t="inlineStr">
        <is>
          <t>—</t>
        </is>
      </c>
      <c r="G6" s="69" t="n"/>
      <c r="H6" s="69" t="n"/>
      <c r="I6" s="69" t="n"/>
    </row>
    <row r="7" ht="30" customHeight="1" s="51">
      <c r="A7" s="67" t="inlineStr">
        <is>
          <t>6-3</t>
        </is>
      </c>
      <c r="B7" s="62" t="inlineStr">
        <is>
          <t>順方向降下</t>
        </is>
      </c>
      <c r="C7" s="63" t="inlineStr">
        <is>
          <t>8A 走行時、ツイストペアで差動測定</t>
        </is>
      </c>
      <c r="D7" s="67" t="inlineStr">
        <is>
          <t>TP13 − TP4</t>
        </is>
      </c>
      <c r="E7" s="63" t="inlineStr">
        <is>
          <t>17mV 前後</t>
        </is>
      </c>
      <c r="F7" s="67" t="inlineStr">
        <is>
          <t>mV</t>
        </is>
      </c>
      <c r="G7" s="69" t="n"/>
      <c r="H7" s="69" t="n"/>
      <c r="I7" s="69" t="n"/>
    </row>
    <row r="8" ht="30" customHeight="1" s="51">
      <c r="A8" s="67" t="inlineStr">
        <is>
          <t>6-4</t>
        </is>
      </c>
      <c r="B8" s="62" t="inlineStr">
        <is>
          <t>遮断時の Vout</t>
        </is>
      </c>
      <c r="C8" s="62" t="inlineStr">
        <is>
          <t>走行中にスイッチ OFF</t>
        </is>
      </c>
      <c r="D8" s="67" t="inlineStr">
        <is>
          <t>TP10 / TP19</t>
        </is>
      </c>
      <c r="E8" s="62" t="inlineStr">
        <is>
          <t>負に振れないこと（C7 が支える）</t>
        </is>
      </c>
      <c r="F8" s="67" t="inlineStr">
        <is>
          <t>V</t>
        </is>
      </c>
      <c r="G8" s="69" t="n"/>
      <c r="H8" s="69" t="n"/>
      <c r="I8" s="69" t="n"/>
    </row>
    <row r="9" ht="30" customHeight="1" s="51">
      <c r="A9" s="67" t="inlineStr">
        <is>
          <t>6-5</t>
        </is>
      </c>
      <c r="B9" s="62" t="inlineStr">
        <is>
          <t>給電パックの判別</t>
        </is>
      </c>
      <c r="C9" s="62" t="inlineStr">
        <is>
          <t>走行中</t>
        </is>
      </c>
      <c r="D9" s="67" t="inlineStr">
        <is>
          <t>TP13 / TP14</t>
        </is>
      </c>
      <c r="E9" s="62" t="inlineStr">
        <is>
          <t>電圧の高い側から給電されること</t>
        </is>
      </c>
      <c r="F9" s="67" t="inlineStr">
        <is>
          <t>V</t>
        </is>
      </c>
      <c r="G9" s="69" t="n"/>
      <c r="H9" s="69" t="n"/>
      <c r="I9" s="69" t="n"/>
    </row>
    <row r="10" ht="39.75" customHeight="1" s="51">
      <c r="A10" s="67" t="inlineStr">
        <is>
          <t>6-6</t>
        </is>
      </c>
      <c r="B10" s="62" t="inlineStr">
        <is>
          <t>回生プロファイル</t>
        </is>
      </c>
      <c r="C10" s="62" t="inlineStr">
        <is>
          <t>制動時、Ch1=TP21(GND:TP12)、Ch2=TP10</t>
        </is>
      </c>
      <c r="D10" s="67" t="inlineStr">
        <is>
          <t>TP21 / TP12</t>
        </is>
      </c>
      <c r="E10" s="62" t="inlineStr">
        <is>
          <t>導通時間とデューティを記録。R11 を上げられる余地があるかの判断材料</t>
        </is>
      </c>
      <c r="F10" s="67" t="inlineStr">
        <is>
          <t>ms</t>
        </is>
      </c>
      <c r="G10" s="69" t="n"/>
      <c r="H10" s="69" t="n"/>
      <c r="I10" s="69" t="n"/>
    </row>
    <row r="11" ht="39.75" customHeight="1" s="51">
      <c r="A11" s="67" t="inlineStr">
        <is>
          <t>6-7</t>
        </is>
      </c>
      <c r="B11" s="62" t="inlineStr">
        <is>
          <t>制動時の最大 Vout</t>
        </is>
      </c>
      <c r="C11" s="62" t="inlineStr">
        <is>
          <t>同時観測</t>
        </is>
      </c>
      <c r="D11" s="67" t="inlineStr">
        <is>
          <t>TP10 / TP19</t>
        </is>
      </c>
      <c r="E11" s="63" t="inlineStr">
        <is>
          <t>34.0V（OVP）に達しないこと。余裕があれば R11 を 330Ω / 470Ω に上げられる</t>
        </is>
      </c>
      <c r="F11" s="67" t="inlineStr">
        <is>
          <t>V</t>
        </is>
      </c>
      <c r="G11" s="69" t="n"/>
      <c r="H11" s="69" t="n"/>
      <c r="I11" s="69" t="n"/>
    </row>
    <row r="13" ht="227.25" customHeight="1" s="51">
      <c r="A13" s="70" t="inlineStr">
        <is>
          <t>※ 6-1 が 100mV を大きく超える場合、C5 のリプル電流定格（18kHz で約 1.06A）に対する余裕を再検討してください。</t>
        </is>
      </c>
    </row>
    <row r="14" ht="153" customHeight="1" s="51">
      <c r="A14" s="70" t="inlineStr">
        <is>
          <t>※ 6-2 で周期外の落ち込みがあれば、リプルによる逆流誤検出が起きています。</t>
        </is>
      </c>
    </row>
    <row r="15" ht="293.25" customHeight="1" s="51">
      <c r="A15" s="70" t="inlineStr">
        <is>
          <t>※ 6-7 で OVP に達する場合は R11 を引ききれていません。150Ω または 100Ω への変更を検討してください。200Ω は制動時間 2.5 秒以上を前提にした値です。</t>
        </is>
      </c>
    </row>
    <row r="16" ht="263.25" customHeight="1" s="51">
      <c r="A16" s="71" t="inlineStr">
        <is>
          <t>※ 回生エネルギーは並進 4.5J + ロータ慣性 約 1.8J = 約 6.3J と見積もっています。ロータ慣性はデータシートに記載がなく推定値です。</t>
        </is>
      </c>
    </row>
    <row r="17" ht="361.5" customHeight="1" s="51">
      <c r="A17" s="70" t="inlineStr">
        <is>
          <t>※ R11 の候補と、周囲 65℃・熱抵抗 18℃/W での連続導通時の平衡温度：200Ω → 158℃ / 330Ω → 122℃ / 470Ω → 105℃ / 680Ω → 93℃。引ききるのに必要な制動時間は 200Ω で 2.5 秒、470Ω で 5.9 秒です。</t>
        </is>
      </c>
    </row>
    <row r="18" ht="341.25" customHeight="1" s="51">
      <c r="A18" s="70" t="inlineStr">
        <is>
          <t>※ 6-7 で OVP に達する場合は引ききれていません。その場合 R11 を上げる方向には進めず、150Ω / 100Ω への変更を検討することになります。熱と回生能力はトレードオフです。</t>
        </is>
      </c>
    </row>
  </sheetData>
  <dataValidations count="1">
    <dataValidation sqref="H5:H11"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I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50" min="1" max="1"/>
    <col width="20" customWidth="1" style="50" min="2" max="2"/>
    <col width="34" customWidth="1" style="50" min="3" max="3"/>
    <col width="16" customWidth="1" style="50" min="4" max="4"/>
    <col width="26" customWidth="1" style="50" min="5" max="5"/>
    <col width="7" customWidth="1" style="50" min="6" max="6"/>
    <col width="12" customWidth="1" style="50" min="7" max="7"/>
    <col width="9" customWidth="1" style="50" min="8" max="8"/>
    <col width="26" customWidth="1" style="50" min="9" max="9"/>
  </cols>
  <sheetData>
    <row r="1" ht="21" customHeight="1" s="51">
      <c r="A1" s="52" t="inlineStr">
        <is>
          <t>7_GND分離</t>
        </is>
      </c>
    </row>
    <row r="2" ht="13.5" customHeight="1" s="51">
      <c r="A2" s="53" t="inlineStr">
        <is>
          <t>C5 のマイナス端子での一点接続が機能しているかの検証。</t>
        </is>
      </c>
    </row>
    <row r="4" ht="30" customHeight="1" s="51">
      <c r="A4" s="65" t="inlineStr">
        <is>
          <t>No.</t>
        </is>
      </c>
      <c r="B4" s="66" t="inlineStr">
        <is>
          <t>項目</t>
        </is>
      </c>
      <c r="C4" s="66" t="inlineStr">
        <is>
          <t>手順・条件</t>
        </is>
      </c>
      <c r="D4" s="66" t="inlineStr">
        <is>
          <t>測定点</t>
        </is>
      </c>
      <c r="E4" s="66" t="inlineStr">
        <is>
          <t>設計値・判定基準</t>
        </is>
      </c>
      <c r="F4" s="66" t="inlineStr">
        <is>
          <t>単位</t>
        </is>
      </c>
      <c r="G4" s="66" t="inlineStr">
        <is>
          <t>実測値</t>
        </is>
      </c>
      <c r="H4" s="66" t="inlineStr">
        <is>
          <t>判定</t>
        </is>
      </c>
      <c r="I4" s="66" t="inlineStr">
        <is>
          <t>備考</t>
        </is>
      </c>
    </row>
    <row r="5" ht="30" customHeight="1" s="51">
      <c r="A5" s="67" t="inlineStr">
        <is>
          <t>7-1</t>
        </is>
      </c>
      <c r="B5" s="62" t="inlineStr">
        <is>
          <t>制御GND−大電流GND</t>
        </is>
      </c>
      <c r="C5" s="62" t="inlineStr">
        <is>
          <t>チョッパ動作中、差動測定</t>
        </is>
      </c>
      <c r="D5" s="67" t="inlineStr">
        <is>
          <t>TP3 − TP12</t>
        </is>
      </c>
      <c r="E5" s="62" t="inlineStr">
        <is>
          <t>数十 mV 以内</t>
        </is>
      </c>
      <c r="F5" s="67" t="inlineStr">
        <is>
          <t>mV</t>
        </is>
      </c>
      <c r="G5" s="69" t="n"/>
      <c r="H5" s="69" t="n"/>
      <c r="I5" s="69" t="n"/>
    </row>
    <row r="6" ht="30" customHeight="1" s="51">
      <c r="A6" s="67" t="inlineStr">
        <is>
          <t>7-2</t>
        </is>
      </c>
      <c r="B6" s="62" t="inlineStr">
        <is>
          <t>同上（通常走行時）</t>
        </is>
      </c>
      <c r="C6" s="63" t="inlineStr">
        <is>
          <t>8A 走行中</t>
        </is>
      </c>
      <c r="D6" s="67" t="inlineStr">
        <is>
          <t>TP3 − TP12</t>
        </is>
      </c>
      <c r="E6" s="62" t="inlineStr">
        <is>
          <t>数 mV 以内</t>
        </is>
      </c>
      <c r="F6" s="67" t="inlineStr">
        <is>
          <t>mV</t>
        </is>
      </c>
      <c r="G6" s="69" t="n"/>
      <c r="H6" s="69" t="n"/>
      <c r="I6" s="69" t="n"/>
    </row>
    <row r="8" ht="178.5" customHeight="1" s="51">
      <c r="A8" s="71" t="inlineStr">
        <is>
          <t>※ 想定を超える場合、GND の引き回しを見直してください。次版での改善項目になります。</t>
        </is>
      </c>
    </row>
  </sheetData>
  <dataValidations count="1">
    <dataValidation sqref="H5:H6"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I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50" min="1" max="1"/>
    <col width="20" customWidth="1" style="50" min="2" max="2"/>
    <col width="34" customWidth="1" style="50" min="3" max="3"/>
    <col width="16" customWidth="1" style="50" min="4" max="4"/>
    <col width="26" customWidth="1" style="50" min="5" max="5"/>
    <col width="7" customWidth="1" style="50" min="6" max="6"/>
    <col width="12" customWidth="1" style="50" min="7" max="7"/>
    <col width="9" customWidth="1" style="50" min="8" max="8"/>
    <col width="26" customWidth="1" style="50" min="9" max="9"/>
  </cols>
  <sheetData>
    <row r="1" ht="21" customHeight="1" s="51">
      <c r="A1" s="52" t="inlineStr">
        <is>
          <t>8_外部スイッチ・LED</t>
        </is>
      </c>
    </row>
    <row r="2" ht="13.5" customHeight="1" s="51">
      <c r="A2" s="53" t="inlineStr">
        <is>
          <t>v2.1.1 で追加した非常停止スイッチ（LED 付き、5 ピン、1NO1NC）と F3（PPTC）の確認。</t>
        </is>
      </c>
    </row>
    <row r="4" ht="30" customHeight="1" s="51">
      <c r="A4" s="65" t="inlineStr">
        <is>
          <t>No.</t>
        </is>
      </c>
      <c r="B4" s="66" t="inlineStr">
        <is>
          <t>項目</t>
        </is>
      </c>
      <c r="C4" s="66" t="inlineStr">
        <is>
          <t>手順・条件</t>
        </is>
      </c>
      <c r="D4" s="66" t="inlineStr">
        <is>
          <t>測定点</t>
        </is>
      </c>
      <c r="E4" s="66" t="inlineStr">
        <is>
          <t>設計値・判定基準</t>
        </is>
      </c>
      <c r="F4" s="66" t="inlineStr">
        <is>
          <t>単位</t>
        </is>
      </c>
      <c r="G4" s="66" t="inlineStr">
        <is>
          <t>実測値</t>
        </is>
      </c>
      <c r="H4" s="66" t="inlineStr">
        <is>
          <t>判定</t>
        </is>
      </c>
      <c r="I4" s="66" t="inlineStr">
        <is>
          <t>備考</t>
        </is>
      </c>
    </row>
    <row r="5" ht="30" customHeight="1" s="51">
      <c r="A5" s="67" t="inlineStr">
        <is>
          <t>8-1</t>
        </is>
      </c>
      <c r="B5" s="62" t="inlineStr">
        <is>
          <t>非常停止の遮断</t>
        </is>
      </c>
      <c r="C5" s="62" t="inlineStr">
        <is>
          <t>ボタンを押す</t>
        </is>
      </c>
      <c r="D5" s="67" t="inlineStr">
        <is>
          <t>TP10 / TP19</t>
        </is>
      </c>
      <c r="E5" s="63" t="inlineStr">
        <is>
          <t>Vout が 0V になること</t>
        </is>
      </c>
      <c r="F5" s="67" t="inlineStr">
        <is>
          <t>V</t>
        </is>
      </c>
      <c r="G5" s="69" t="n"/>
      <c r="H5" s="69" t="n"/>
      <c r="I5" s="69" t="n"/>
    </row>
    <row r="6" ht="30" customHeight="1" s="51">
      <c r="A6" s="67" t="inlineStr">
        <is>
          <t>8-2</t>
        </is>
      </c>
      <c r="B6" s="62" t="inlineStr">
        <is>
          <t>復帰</t>
        </is>
      </c>
      <c r="C6" s="62" t="inlineStr">
        <is>
          <t>ひねって解除</t>
        </is>
      </c>
      <c r="D6" s="67" t="inlineStr">
        <is>
          <t>TP10 / TP19</t>
        </is>
      </c>
      <c r="E6" s="63" t="inlineStr">
        <is>
          <t>Vout が復帰すること</t>
        </is>
      </c>
      <c r="F6" s="67" t="inlineStr">
        <is>
          <t>V</t>
        </is>
      </c>
      <c r="G6" s="69" t="n"/>
      <c r="H6" s="69" t="n"/>
      <c r="I6" s="69" t="n"/>
    </row>
    <row r="7" ht="30" customHeight="1" s="51">
      <c r="A7" s="67" t="inlineStr">
        <is>
          <t>8-3</t>
        </is>
      </c>
      <c r="B7" s="62" t="inlineStr">
        <is>
          <t>接点の導通抵抗</t>
        </is>
      </c>
      <c r="C7" s="62" t="inlineStr">
        <is>
          <t>無通電、スイッチ解除状態</t>
        </is>
      </c>
      <c r="D7" s="67" t="inlineStr">
        <is>
          <t>J4 pin3 − pin4</t>
        </is>
      </c>
      <c r="E7" s="63" t="inlineStr">
        <is>
          <t>1Ω 以下</t>
        </is>
      </c>
      <c r="F7" s="67" t="inlineStr">
        <is>
          <t>Ω</t>
        </is>
      </c>
      <c r="G7" s="69" t="n"/>
      <c r="H7" s="69" t="n"/>
      <c r="I7" s="69" t="n"/>
    </row>
    <row r="8" ht="30" customHeight="1" s="51">
      <c r="A8" s="67" t="inlineStr">
        <is>
          <t>8-4</t>
        </is>
      </c>
      <c r="B8" s="63" t="inlineStr">
        <is>
          <t>LED 電流（34V）</t>
        </is>
      </c>
      <c r="C8" s="63" t="inlineStr">
        <is>
          <t>Vout を 34V に設定し、J4 pin1 の電流を測定</t>
        </is>
      </c>
      <c r="D8" s="67" t="inlineStr">
        <is>
          <t>J4 pin1</t>
        </is>
      </c>
      <c r="E8" s="63" t="inlineStr">
        <is>
          <t>40mA 以下が望ましい</t>
        </is>
      </c>
      <c r="F8" s="67" t="inlineStr">
        <is>
          <t>mA</t>
        </is>
      </c>
      <c r="G8" s="69" t="n"/>
      <c r="H8" s="69" t="n"/>
      <c r="I8" s="69" t="n"/>
    </row>
    <row r="9" ht="30" customHeight="1" s="51">
      <c r="A9" s="67" t="inlineStr">
        <is>
          <t>8-5</t>
        </is>
      </c>
      <c r="B9" s="63" t="inlineStr">
        <is>
          <t>LED 電流（19.5V）</t>
        </is>
      </c>
      <c r="C9" s="63" t="inlineStr">
        <is>
          <t>Vout を 19.5V に設定</t>
        </is>
      </c>
      <c r="D9" s="67" t="inlineStr">
        <is>
          <t>J4 pin1</t>
        </is>
      </c>
      <c r="E9" s="62" t="inlineStr">
        <is>
          <t>記録のみ（電圧依存性の確認）</t>
        </is>
      </c>
      <c r="F9" s="67" t="inlineStr">
        <is>
          <t>mA</t>
        </is>
      </c>
      <c r="G9" s="69" t="n"/>
      <c r="H9" s="69" t="n"/>
      <c r="I9" s="69" t="n"/>
    </row>
    <row r="10" ht="30" customHeight="1" s="51">
      <c r="A10" s="67" t="inlineStr">
        <is>
          <t>8-6</t>
        </is>
      </c>
      <c r="B10" s="63" t="inlineStr">
        <is>
          <t>F3 の電圧降下</t>
        </is>
      </c>
      <c r="C10" s="63" t="inlineStr">
        <is>
          <t>8-4 と同時に測定</t>
        </is>
      </c>
      <c r="D10" s="67" t="inlineStr">
        <is>
          <t>Vout − J4 pin1</t>
        </is>
      </c>
      <c r="E10" s="63" t="inlineStr">
        <is>
          <t>LED 電流 × 1.6〜15Ω</t>
        </is>
      </c>
      <c r="F10" s="67" t="inlineStr">
        <is>
          <t>mV</t>
        </is>
      </c>
      <c r="G10" s="69" t="n"/>
      <c r="H10" s="69" t="n"/>
      <c r="I10" s="69" t="n"/>
    </row>
    <row r="11" ht="30" customHeight="1" s="51">
      <c r="A11" s="67" t="inlineStr">
        <is>
          <t>8-7</t>
        </is>
      </c>
      <c r="B11" s="63" t="inlineStr">
        <is>
          <t>LED 線短絡時のトリップ</t>
        </is>
      </c>
      <c r="C11" s="62" t="inlineStr">
        <is>
          <t>電流制限付き電源で J4 pin1 − pin2 を短絡</t>
        </is>
      </c>
      <c r="D11" s="67" t="inlineStr">
        <is>
          <t>J4</t>
        </is>
      </c>
      <c r="E11" s="63" t="inlineStr">
        <is>
          <t>F3 がトリップすること。1 秒以内</t>
        </is>
      </c>
      <c r="F11" s="68" t="inlineStr">
        <is>
          <t>秒</t>
        </is>
      </c>
      <c r="G11" s="69" t="n"/>
      <c r="H11" s="69" t="n"/>
      <c r="I11" s="69" t="n"/>
    </row>
    <row r="12" ht="30" customHeight="1" s="51">
      <c r="A12" s="67" t="inlineStr">
        <is>
          <t>8-8</t>
        </is>
      </c>
      <c r="B12" s="63" t="inlineStr">
        <is>
          <t>F3 の復帰時間</t>
        </is>
      </c>
      <c r="C12" s="62" t="inlineStr">
        <is>
          <t>短絡を解除し、LED が再点灯するまで</t>
        </is>
      </c>
      <c r="D12" s="68" t="inlineStr">
        <is>
          <t>外部 LED</t>
        </is>
      </c>
      <c r="E12" s="62" t="inlineStr">
        <is>
          <t>記録のみ</t>
        </is>
      </c>
      <c r="F12" s="68" t="inlineStr">
        <is>
          <t>秒</t>
        </is>
      </c>
      <c r="G12" s="69" t="n"/>
      <c r="H12" s="69" t="n"/>
      <c r="I12" s="69" t="n"/>
    </row>
    <row r="14" ht="336.75" customHeight="1" s="51">
      <c r="A14" s="70" t="inlineStr">
        <is>
          <t>※ 8-4 が 40mA を超える場合、F3 を 1206L020/60NR（ホールド電流 200mA）に変更してください。筐体内 65℃ ではホールド電流が 25℃ 定格の 6 割程度まで下がります。</t>
        </is>
      </c>
    </row>
    <row r="15" ht="191.25" customHeight="1" s="51">
      <c r="A15" s="70" t="inlineStr">
        <is>
          <t>※ 8-7 は意図的な短絡試験です。必ず電流制限付き電源で実施し、パックは接続しないでください。</t>
        </is>
      </c>
    </row>
    <row r="16" ht="231" customHeight="1" s="51">
      <c r="A16" s="70" t="inlineStr">
        <is>
          <t>※ F3（1206L010/60NR）の諸元：ホールド 100mA / トリップ 250mA / Vmax 60V / 正常時抵抗 1.6〜15Ω / 動作温度 −40〜85℃。</t>
        </is>
      </c>
    </row>
    <row r="17" ht="315.75" customHeight="1" s="51">
      <c r="A17" s="71" t="inlineStr">
        <is>
          <t>※ 外部 LED は Vout から駆動されるため、非常停止・サーマル遮断・OVP・UVLO のいずれで遮断されても消灯します。スイッチ位置ではなく実際の出力を示します。</t>
        </is>
      </c>
    </row>
  </sheetData>
  <dataValidations count="1">
    <dataValidation sqref="H5:H12"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I6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50" min="1" max="1"/>
    <col width="20" customWidth="1" style="50" min="2" max="2"/>
    <col width="34" customWidth="1" style="50" min="3" max="3"/>
    <col width="16" customWidth="1" style="50" min="4" max="4"/>
    <col width="26" customWidth="1" style="50" min="5" max="5"/>
    <col width="7" customWidth="1" style="50" min="6" max="6"/>
    <col width="12" customWidth="1" style="50" min="7" max="7"/>
    <col width="9" customWidth="1" style="50" min="8" max="8"/>
    <col width="26" customWidth="1" style="50" min="9" max="9"/>
  </cols>
  <sheetData>
    <row r="1" ht="21" customHeight="1" s="51">
      <c r="A1" s="52" t="inlineStr">
        <is>
          <t>9_ENしきい値選別</t>
        </is>
      </c>
    </row>
    <row r="2" ht="189.55" customHeight="1" s="51">
      <c r="A2" s="74" t="inlineStr">
        <is>
          <t>加熱せずに EN しきい値を測る量産選別。この値で遮断点が決まる。R5 = 3.0kΩ を前提とした窓。</t>
        </is>
      </c>
    </row>
    <row r="4" ht="30" customHeight="1" s="51">
      <c r="A4" s="65" t="inlineStr">
        <is>
          <t>No.</t>
        </is>
      </c>
      <c r="B4" s="80" t="inlineStr">
        <is>
          <t>項目</t>
        </is>
      </c>
      <c r="C4" s="80" t="inlineStr">
        <is>
          <t>手順・条件</t>
        </is>
      </c>
      <c r="D4" s="80" t="inlineStr">
        <is>
          <t>測定点</t>
        </is>
      </c>
      <c r="E4" s="80" t="inlineStr">
        <is>
          <t>設計値・判定基準</t>
        </is>
      </c>
      <c r="F4" s="80" t="inlineStr">
        <is>
          <t>単位</t>
        </is>
      </c>
      <c r="G4" s="80" t="inlineStr">
        <is>
          <t>実測値</t>
        </is>
      </c>
      <c r="H4" s="80" t="inlineStr">
        <is>
          <t>判定</t>
        </is>
      </c>
      <c r="I4" s="80" t="inlineStr">
        <is>
          <t>備考</t>
        </is>
      </c>
    </row>
    <row r="5" ht="31.5" customHeight="1" s="51">
      <c r="A5" s="67" t="inlineStr">
        <is>
          <t>9-1</t>
        </is>
      </c>
      <c r="B5" s="75" t="inlineStr">
        <is>
          <t>立ち上がりしきい値</t>
        </is>
      </c>
      <c r="C5" s="75" t="inlineStr">
        <is>
          <t>注入電圧を上げ、Vout が立つ点</t>
        </is>
      </c>
      <c r="D5" s="67" t="inlineStr">
        <is>
          <t>TP7 / TP2</t>
        </is>
      </c>
      <c r="E5" s="75" t="inlineStr">
        <is>
          <t>記録のみ</t>
        </is>
      </c>
      <c r="F5" s="67" t="inlineStr">
        <is>
          <t>V</t>
        </is>
      </c>
      <c r="G5" s="69" t="n"/>
      <c r="H5" s="69" t="n"/>
      <c r="I5" s="69" t="n"/>
    </row>
    <row r="6" ht="31.5" customHeight="1" s="51">
      <c r="A6" s="67" t="inlineStr">
        <is>
          <t>9-2</t>
        </is>
      </c>
      <c r="B6" s="75" t="inlineStr">
        <is>
          <t>立ち下がりしきい値</t>
        </is>
      </c>
      <c r="C6" s="75" t="inlineStr">
        <is>
          <t>注入電圧を下げ、Vout が落ちる点</t>
        </is>
      </c>
      <c r="D6" s="67" t="inlineStr">
        <is>
          <t>TP7 / TP2</t>
        </is>
      </c>
      <c r="E6" s="63" t="inlineStr">
        <is>
          <t>1.15〜1.50V なら合格</t>
        </is>
      </c>
      <c r="F6" s="67" t="inlineStr">
        <is>
          <t>V</t>
        </is>
      </c>
      <c r="G6" s="69" t="n"/>
      <c r="H6" s="69" t="n"/>
      <c r="I6" s="69" t="n"/>
    </row>
    <row r="7" ht="29.85" customHeight="1" s="51">
      <c r="A7" s="67" t="inlineStr">
        <is>
          <t>9-3</t>
        </is>
      </c>
      <c r="B7" s="75" t="inlineStr">
        <is>
          <t>ヒステリシス（自動計算）</t>
        </is>
      </c>
      <c r="C7" s="63" t="inlineStr">
        <is>
          <t>9-1 − 9-2</t>
        </is>
      </c>
      <c r="D7" s="67" t="inlineStr">
        <is>
          <t>—</t>
        </is>
      </c>
      <c r="E7" s="63" t="inlineStr">
        <is>
          <t>150〜300mV</t>
        </is>
      </c>
      <c r="F7" s="67" t="inlineStr">
        <is>
          <t>mV</t>
        </is>
      </c>
      <c r="G7" s="79">
        <f>IF(COUNT(G5,G6)=2,(G5-G6)*1000,"")</f>
        <v/>
      </c>
      <c r="H7" s="81" t="n"/>
      <c r="I7" s="81" t="n"/>
    </row>
    <row r="9" ht="15" customHeight="1" s="51">
      <c r="A9" s="82" t="inlineStr">
        <is>
          <t>試験手順（加熱不要・1 枚あたり 30 秒程度）</t>
        </is>
      </c>
    </row>
    <row r="10" ht="239.55" customHeight="1" s="51">
      <c r="A10" s="76" t="inlineStr">
        <is>
          <t>1. J4 を開放する（非常停止スイッチを外すか、pin3 の配線を外す）。VBUS からの EN 分圧経路が切れる</t>
        </is>
      </c>
    </row>
    <row r="11" ht="97.75" customHeight="1" s="51">
      <c r="A11" s="76" t="inlineStr">
        <is>
          <t>2. J1 に VBUS 24V を印加する（電流制限 0.5A）</t>
        </is>
      </c>
    </row>
    <row r="12" ht="157.45" customHeight="1" s="51">
      <c r="A12" s="76" t="inlineStr">
        <is>
          <t>3. 可変電源を TP7（＋）と TP2（−）に接続する。電流制限 1mA、上限 3V</t>
        </is>
      </c>
    </row>
    <row r="13" ht="171.6" customHeight="1" s="51">
      <c r="A13" s="76" t="inlineStr">
        <is>
          <t>4. 注入電圧を 0V からゆっくり上げ、Vout（TP10）が立った電圧を 9-1 に記録する</t>
        </is>
      </c>
    </row>
    <row r="14" ht="114.9" customHeight="1" s="51">
      <c r="A14" s="76" t="inlineStr">
        <is>
          <t>5. ゆっくり下げ、Vout が落ちた電圧を 9-2 に記録する</t>
        </is>
      </c>
    </row>
    <row r="15" ht="123.1" customHeight="1" s="51">
      <c r="A15" s="76" t="inlineStr">
        <is>
          <t>6. 9-2 が 1.15〜1.50V なら合格。外れた基板は交換する</t>
        </is>
      </c>
    </row>
    <row r="17" ht="15" customHeight="1" s="51">
      <c r="A17" s="72" t="inlineStr">
        <is>
          <t>9-2 から算出される遮断点（自動計算）</t>
        </is>
      </c>
      <c r="E17" s="114" t="inlineStr">
        <is>
          <t>R5 の実装値 (Ω)</t>
        </is>
      </c>
      <c r="F17" s="123" t="n">
        <v>3000</v>
      </c>
      <c r="G17" s="114" t="inlineStr">
        <is>
          <t>R_top (Ω)</t>
        </is>
      </c>
      <c r="H17" s="121">
        <f>10000+F17</f>
        <v/>
      </c>
    </row>
    <row r="18" ht="32.8" customHeight="1" s="51">
      <c r="A18" s="80" t="inlineStr">
        <is>
          <t>項目</t>
        </is>
      </c>
      <c r="B18" s="65" t="inlineStr">
        <is>
          <t>VBUS 19.5V（放電末期）</t>
        </is>
      </c>
      <c r="C18" s="65" t="inlineStr">
        <is>
          <t>VBUS 29.4V（満充電）</t>
        </is>
      </c>
      <c r="D18" s="80" t="inlineStr">
        <is>
          <t>判定の目安</t>
        </is>
      </c>
    </row>
    <row r="19" ht="15" customHeight="1" s="51">
      <c r="A19" s="83" t="inlineStr">
        <is>
          <t>分圧下側抵抗 R_b (Ω)</t>
        </is>
      </c>
      <c r="B19" s="84">
        <f>IF(ISNUMBER($G$6),$G$6/((19.5-$G$6)/$H$17-0.000006),"")</f>
        <v/>
      </c>
      <c r="C19" s="84">
        <f>IF(ISNUMBER($G$6),$G$6/((29.4-$G$6)/$H$17-0.000006),"")</f>
        <v/>
      </c>
      <c r="D19" s="85" t="inlineStr">
        <is>
          <t>—</t>
        </is>
      </c>
    </row>
    <row r="20" ht="15" customHeight="1" s="51">
      <c r="A20" s="85" t="inlineStr">
        <is>
          <t>TH1 の抵抗 (Ω)</t>
        </is>
      </c>
      <c r="B20" s="84">
        <f>IF(ISNUMBER(B19),1/(1/B19-1/100000),"")</f>
        <v/>
      </c>
      <c r="C20" s="84">
        <f>IF(ISNUMBER(C19),1/(1/C19-1/100000),"")</f>
        <v/>
      </c>
      <c r="D20" s="85" t="inlineStr">
        <is>
          <t>—</t>
        </is>
      </c>
    </row>
    <row r="21" ht="15" customHeight="1" s="51">
      <c r="A21" s="85" t="inlineStr">
        <is>
          <t>TH1 の遮断点 (℃)</t>
        </is>
      </c>
      <c r="B21" s="86">
        <f>IF(ISNUMBER(B20),1/(1/298.15+LN(B20/10000)/3944)-273.15,"")</f>
        <v/>
      </c>
      <c r="C21" s="86">
        <f>IF(ISNUMBER(C20),1/(1/298.15+LN(C20/10000)/3944)-273.15,"")</f>
        <v/>
      </c>
      <c r="D21" s="85" t="inlineStr">
        <is>
          <t>85℃ 以上が望ましい</t>
        </is>
      </c>
    </row>
    <row r="22" ht="15" customHeight="1" s="51">
      <c r="A22" s="85" t="inlineStr">
        <is>
          <t>Q1 の推定温度 (℃)</t>
        </is>
      </c>
      <c r="B22" s="86">
        <f>IF(ISNUMBER(B21),B21+29,"")</f>
        <v/>
      </c>
      <c r="C22" s="86">
        <f>IF(ISNUMBER(C21),C21+29,"")</f>
        <v/>
      </c>
      <c r="D22" s="85" t="inlineStr">
        <is>
          <t>140℃ 以下（Tjmax 150℃）</t>
        </is>
      </c>
    </row>
    <row r="23" ht="15" customHeight="1" s="51">
      <c r="A23" s="83" t="inlineStr">
        <is>
          <t>筐体内 65℃ での余裕 (℃)</t>
        </is>
      </c>
      <c r="B23" s="86">
        <f>IF(ISNUMBER(B21),B21-65,"")</f>
        <v/>
      </c>
      <c r="C23" s="86">
        <f>IF(ISNUMBER(C21),C21-65,"")</f>
        <v/>
      </c>
      <c r="D23" s="85" t="inlineStr">
        <is>
          <t>20℃ 以上が望ましい</t>
        </is>
      </c>
    </row>
    <row r="25" ht="225.35" customHeight="1" s="51">
      <c r="A25" s="93" t="inlineStr">
        <is>
          <t>※ 9-2 の測定値は J4 を開放して TP7 に電圧を注入するため、LM5060 単体の EN しきい値であり R5 の値に依存しません。R5 に依存するのは下の算出温度だけです。F17 に実装値を入れてください（量産は 3.0kΩ、v2.1.1 初期ロットは 14.7kΩ）。</t>
        </is>
      </c>
    </row>
    <row r="26" ht="318.65" customHeight="1" s="51">
      <c r="A26" s="74" t="inlineStr">
        <is>
          <t>※ この窓は「通常走行時の TH1 上昇が周囲＋20℃ 以下」「Q1 − TH1 オフセット 29℃」を仮定した暫定値です。3-3 と 3-4 / 3-5 の実測が出たら再計算してください。</t>
        </is>
      </c>
    </row>
    <row r="27" ht="402.95" customHeight="1" s="51">
      <c r="A27" s="70" t="inlineStr">
        <is>
          <t>※ LM5060 自身の温度ドリフトはデータシートに規定がありません。25℃ で測った値が筐体内 65℃ でどう動くかは不明で、この選別では保証できません。根本的には次版でマイコンの ADC に移すのが確実です。</t>
        </is>
      </c>
    </row>
    <row r="28" ht="141" customHeight="1" s="51">
      <c r="A28" s="70" t="inlineStr">
        <is>
          <t>※ D8 が 3.9V でクランプするので、注入電圧は 3V を超えないでください。</t>
        </is>
      </c>
    </row>
    <row r="29" ht="176.85" customHeight="1" s="51">
      <c r="A29" s="74" t="inlineStr">
        <is>
          <t>※ 手順 3 の電流制限は 1mA 程度にしてください。EN の ENBIAS は 6µA なので十分です。</t>
        </is>
      </c>
    </row>
    <row r="31">
      <c r="A31" s="87" t="inlineStr">
        <is>
          <t>遮断点の個体ばらつき一覧（EN しきい値 × VBUS。TH1 温度 ℃）</t>
        </is>
      </c>
    </row>
    <row r="32" ht="30" customHeight="1" s="51">
      <c r="A32" s="88" t="inlineStr">
        <is>
          <t>EN しきい値</t>
        </is>
      </c>
      <c r="B32" s="88" t="inlineStr">
        <is>
          <t>意味</t>
        </is>
      </c>
      <c r="C32" s="88" t="inlineStr">
        <is>
          <t>R5=14.7kΩ
19.5V</t>
        </is>
      </c>
      <c r="D32" s="88" t="inlineStr">
        <is>
          <t>R5=14.7kΩ
24.0V</t>
        </is>
      </c>
      <c r="E32" s="88" t="inlineStr">
        <is>
          <t>R5=14.7kΩ
29.4V</t>
        </is>
      </c>
      <c r="F32" s="88" t="inlineStr">
        <is>
          <t>R5=3.0kΩ
19.5V</t>
        </is>
      </c>
      <c r="G32" s="88" t="inlineStr">
        <is>
          <t>R5=3.0kΩ
24.0V</t>
        </is>
      </c>
      <c r="H32" s="88" t="inlineStr">
        <is>
          <t>R5=3.0kΩ
29.4V</t>
        </is>
      </c>
    </row>
    <row r="33">
      <c r="A33" s="89" t="inlineStr">
        <is>
          <t>0.80 V</t>
        </is>
      </c>
      <c r="B33" s="90" t="inlineStr">
        <is>
          <t>ENTHL・最も遅く遮断</t>
        </is>
      </c>
      <c r="C33" s="91" t="n">
        <v>85.40000000000001</v>
      </c>
      <c r="D33" s="91" t="n">
        <v>92.7</v>
      </c>
      <c r="E33" s="91" t="n">
        <v>100</v>
      </c>
      <c r="F33" s="91" t="n">
        <v>108</v>
      </c>
      <c r="G33" s="91" t="n">
        <v>116.1</v>
      </c>
      <c r="H33" s="91" t="n">
        <v>124.4</v>
      </c>
    </row>
    <row r="34">
      <c r="A34" s="89" t="inlineStr">
        <is>
          <t>1.15 V</t>
        </is>
      </c>
      <c r="B34" s="90" t="inlineStr">
        <is>
          <t>選別窓の下限</t>
        </is>
      </c>
      <c r="C34" s="91" t="n">
        <v>73.2</v>
      </c>
      <c r="D34" s="91" t="n">
        <v>80.2</v>
      </c>
      <c r="E34" s="91" t="n">
        <v>87.09999999999999</v>
      </c>
      <c r="F34" s="91" t="n">
        <v>94.3</v>
      </c>
      <c r="G34" s="91" t="n">
        <v>102.1</v>
      </c>
      <c r="H34" s="91" t="n">
        <v>109.9</v>
      </c>
    </row>
    <row r="35">
      <c r="A35" s="89" t="inlineStr">
        <is>
          <t>1.30 V</t>
        </is>
      </c>
      <c r="B35" s="90" t="inlineStr">
        <is>
          <t>v2.1.1 実測値</t>
        </is>
      </c>
      <c r="C35" s="91" t="n">
        <v>69.2</v>
      </c>
      <c r="D35" s="91" t="n">
        <v>76.09999999999999</v>
      </c>
      <c r="E35" s="91" t="n">
        <v>82.90000000000001</v>
      </c>
      <c r="F35" s="91" t="n">
        <v>89.8</v>
      </c>
      <c r="G35" s="91" t="n">
        <v>97.5</v>
      </c>
      <c r="H35" s="91" t="n">
        <v>105.1</v>
      </c>
    </row>
    <row r="36">
      <c r="A36" s="89" t="inlineStr">
        <is>
          <t>1.50 V</t>
        </is>
      </c>
      <c r="B36" s="90" t="inlineStr">
        <is>
          <t>選別窓の上限</t>
        </is>
      </c>
      <c r="C36" s="91" t="n">
        <v>64.59999999999999</v>
      </c>
      <c r="D36" s="91" t="n">
        <v>71.40000000000001</v>
      </c>
      <c r="E36" s="91" t="n">
        <v>78.09999999999999</v>
      </c>
      <c r="F36" s="91" t="n">
        <v>84.7</v>
      </c>
      <c r="G36" s="91" t="n">
        <v>92.2</v>
      </c>
      <c r="H36" s="91" t="n">
        <v>99.7</v>
      </c>
    </row>
    <row r="37">
      <c r="A37" s="89" t="inlineStr">
        <is>
          <t>2.00 V</t>
        </is>
      </c>
      <c r="B37" s="90" t="inlineStr">
        <is>
          <t>ENTHH・最も早く遮断</t>
        </is>
      </c>
      <c r="C37" s="91" t="n">
        <v>55.5</v>
      </c>
      <c r="D37" s="91" t="n">
        <v>62.1</v>
      </c>
      <c r="E37" s="91" t="n">
        <v>68.7</v>
      </c>
      <c r="F37" s="91" t="n">
        <v>74.59999999999999</v>
      </c>
      <c r="G37" s="91" t="n">
        <v>81.90000000000001</v>
      </c>
      <c r="H37" s="91" t="n">
        <v>89.2</v>
      </c>
    </row>
    <row r="39" ht="30" customHeight="1" s="51">
      <c r="A39" s="87" t="inlineStr">
        <is>
          <t>Q1 の推定接合部温度（上表 ＋ 29℃。Tjmax 150℃）</t>
        </is>
      </c>
    </row>
    <row r="40">
      <c r="A40" s="88" t="inlineStr">
        <is>
          <t>EN しきい値</t>
        </is>
      </c>
      <c r="B40" s="88" t="inlineStr">
        <is>
          <t>意味</t>
        </is>
      </c>
      <c r="C40" s="88" t="inlineStr">
        <is>
          <t>R5=14.7kΩ
19.5V</t>
        </is>
      </c>
      <c r="D40" s="88" t="inlineStr">
        <is>
          <t>R5=14.7kΩ
24.0V</t>
        </is>
      </c>
      <c r="E40" s="88" t="inlineStr">
        <is>
          <t>R5=14.7kΩ
29.4V</t>
        </is>
      </c>
      <c r="F40" s="88" t="inlineStr">
        <is>
          <t>R5=3.0kΩ
19.5V</t>
        </is>
      </c>
      <c r="G40" s="88" t="inlineStr">
        <is>
          <t>R5=3.0kΩ
24.0V</t>
        </is>
      </c>
      <c r="H40" s="88" t="inlineStr">
        <is>
          <t>R5=3.0kΩ
29.4V</t>
        </is>
      </c>
    </row>
    <row r="41">
      <c r="A41" s="89" t="inlineStr">
        <is>
          <t>0.80 V</t>
        </is>
      </c>
      <c r="B41" s="90" t="inlineStr">
        <is>
          <t>ENTHL・最も遅く遮断</t>
        </is>
      </c>
      <c r="C41" s="91" t="n">
        <v>114</v>
      </c>
      <c r="D41" s="91" t="n">
        <v>122</v>
      </c>
      <c r="E41" s="91" t="n">
        <v>129</v>
      </c>
      <c r="F41" s="91" t="n">
        <v>137</v>
      </c>
      <c r="G41" s="91" t="n">
        <v>145</v>
      </c>
      <c r="H41" s="92" t="n">
        <v>153</v>
      </c>
    </row>
    <row r="42">
      <c r="A42" s="89" t="inlineStr">
        <is>
          <t>1.15 V</t>
        </is>
      </c>
      <c r="B42" s="90" t="inlineStr">
        <is>
          <t>選別窓の下限</t>
        </is>
      </c>
      <c r="C42" s="91" t="n">
        <v>102</v>
      </c>
      <c r="D42" s="91" t="n">
        <v>109</v>
      </c>
      <c r="E42" s="91" t="n">
        <v>116</v>
      </c>
      <c r="F42" s="91" t="n">
        <v>123</v>
      </c>
      <c r="G42" s="91" t="n">
        <v>131</v>
      </c>
      <c r="H42" s="91" t="n">
        <v>139</v>
      </c>
    </row>
    <row r="43">
      <c r="A43" s="89" t="inlineStr">
        <is>
          <t>1.30 V</t>
        </is>
      </c>
      <c r="B43" s="90" t="inlineStr">
        <is>
          <t>v2.1.1 実測値</t>
        </is>
      </c>
      <c r="C43" s="91" t="n">
        <v>98</v>
      </c>
      <c r="D43" s="91" t="n">
        <v>105</v>
      </c>
      <c r="E43" s="91" t="n">
        <v>112</v>
      </c>
      <c r="F43" s="91" t="n">
        <v>119</v>
      </c>
      <c r="G43" s="91" t="n">
        <v>126</v>
      </c>
      <c r="H43" s="91" t="n">
        <v>134</v>
      </c>
    </row>
    <row r="44">
      <c r="A44" s="89" t="inlineStr">
        <is>
          <t>1.50 V</t>
        </is>
      </c>
      <c r="B44" s="90" t="inlineStr">
        <is>
          <t>選別窓の上限</t>
        </is>
      </c>
      <c r="C44" s="91" t="n">
        <v>94</v>
      </c>
      <c r="D44" s="91" t="n">
        <v>100</v>
      </c>
      <c r="E44" s="91" t="n">
        <v>107</v>
      </c>
      <c r="F44" s="91" t="n">
        <v>114</v>
      </c>
      <c r="G44" s="91" t="n">
        <v>121</v>
      </c>
      <c r="H44" s="91" t="n">
        <v>129</v>
      </c>
    </row>
    <row r="45">
      <c r="A45" s="89" t="inlineStr">
        <is>
          <t>2.00 V</t>
        </is>
      </c>
      <c r="B45" s="90" t="inlineStr">
        <is>
          <t>ENTHH・最も早く遮断</t>
        </is>
      </c>
      <c r="C45" s="91" t="n">
        <v>84</v>
      </c>
      <c r="D45" s="91" t="n">
        <v>91</v>
      </c>
      <c r="E45" s="91" t="n">
        <v>98</v>
      </c>
      <c r="F45" s="91" t="n">
        <v>104</v>
      </c>
      <c r="G45" s="91" t="n">
        <v>111</v>
      </c>
      <c r="H45" s="91" t="n">
        <v>118</v>
      </c>
    </row>
    <row r="48" ht="30" customHeight="1" s="51">
      <c r="A48" s="93" t="inlineStr">
        <is>
          <t>※ 算出式：V_EN =（VBUS / R_top − 6µA）/（1 / R_top + 1 / R_b）。R_top = R9 10kΩ + R5、R_b = R6 100kΩ ∥ TH1。TH1 = NCP21XV103J03RA（10kΩ、B = 3944）。</t>
        </is>
      </c>
    </row>
    <row r="49" ht="30" customHeight="1" s="51">
      <c r="A49" s="93" t="inlineStr">
        <is>
          <t>※ 回路構成の確認済み事項：VBUS →[R9 10k]→ J4 pin3 →[スイッチ]→ J4 pin4 →[R5]→ EN。EN から GND へ D8 / R6 / TH1 が並列。R2 / R3 / R4 は UVLO・OVP 専用の別分圧で、EN とは独立しています。</t>
        </is>
      </c>
    </row>
    <row r="50" ht="30" customHeight="1" s="51">
      <c r="A50" s="93" t="inlineStr">
        <is>
          <t>※ 選別窓 1.15〜1.50V の根拠：下限は Q1 の温度制約（0.80V・29.4V で Q1 が 153℃ となり Tjmax 150℃ を超えるため）。上限は誤遮断の制約（1.50V・19.5V で 65℃ に対する余裕が +19.7℃ となり、目標 +20℃ にちょうど接するため）。両端とも制約が効いており、窓はこれ以上広げられません。</t>
        </is>
      </c>
    </row>
    <row r="51" ht="30" customHeight="1" s="51">
      <c r="A51" s="93" t="inlineStr">
        <is>
          <t>※ 選別しない場合（0.80〜2.00V を全数受け入れる場合）、R5 = 3.0kΩ でも遮断点は 74.6〜124.4℃、幅 50℃ に散ります。下端 74.6℃ は筐体内 65℃ に対し +9.6℃ しかなく、通常走行時の TH1 上昇が 10℃ を超えると起動できません。</t>
        </is>
      </c>
    </row>
    <row r="52" ht="30" customHeight="1" s="51">
      <c r="A52" s="93" t="inlineStr">
        <is>
          <t>※ 「＋29℃」は Q1 − TH1 オフセットの仮定値です。3-4 / 3-5 の実測で +40℃ 程度と判明した場合、下限 1.15V でも 29.4V で Q1 が 150℃ に達し、下限と上限が交差して窓が成立しなくなります。その場合は R5 = 3.0kΩ ＋ 選別という方針自体が使えません。</t>
        </is>
      </c>
    </row>
    <row r="53" ht="30" customHeight="1" s="51">
      <c r="A53" s="93" t="inlineStr">
        <is>
          <t>※ D8（BZT52C3V9）は 3.2V 付近でクランプします。R5 = 3.0kΩ・VBUS 29.4V では TH1 が約 66℃（19.5V なら約 52℃）に達するまで EN はクランプに張り付き、温度情報を持ちません。3-3 の通常走行時の TH1 上昇を EN 電圧から読むことはできないため、TH1 の抵抗を直接測ってください。</t>
        </is>
      </c>
    </row>
    <row r="55">
      <c r="A55" s="117" t="inlineStr">
        <is>
          <t>個体ごとの EN しきい値記録</t>
        </is>
      </c>
    </row>
    <row r="56" ht="26" customHeight="1" s="51">
      <c r="A56" s="118" t="inlineStr">
        <is>
          <t>個体</t>
        </is>
      </c>
      <c r="B56" s="118" t="inlineStr">
        <is>
          <t>R5</t>
        </is>
      </c>
      <c r="C56" s="118" t="inlineStr">
        <is>
          <t>立ち下がり (V)</t>
        </is>
      </c>
      <c r="D56" s="118" t="inlineStr">
        <is>
          <t>立ち上がり (V)</t>
        </is>
      </c>
      <c r="E56" s="118" t="inlineStr">
        <is>
          <t>ヒステリシス (mV)</t>
        </is>
      </c>
      <c r="F56" s="118" t="inlineStr">
        <is>
          <t>測定方法</t>
        </is>
      </c>
      <c r="G56" s="118" t="inlineStr">
        <is>
          <t>状態</t>
        </is>
      </c>
      <c r="H56" s="118" t="inlineStr">
        <is>
          <t>備考</t>
        </is>
      </c>
    </row>
    <row r="57" ht="30" customHeight="1" s="51">
      <c r="A57" s="119" t="inlineStr">
        <is>
          <t>1 号機</t>
        </is>
      </c>
      <c r="B57" s="120" t="n">
        <v>14700</v>
      </c>
      <c r="C57" s="121" t="n">
        <v>1.3</v>
      </c>
      <c r="D57" s="121" t="n">
        <v>1.55</v>
      </c>
      <c r="E57" s="121" t="n">
        <v>250</v>
      </c>
      <c r="F57" s="122" t="inlineStr">
        <is>
          <t>4-2 / 4-4（実動作）</t>
        </is>
      </c>
      <c r="G57" s="120" t="inlineStr">
        <is>
          <t>破壊（Q3 ゲート）</t>
        </is>
      </c>
      <c r="H57" s="122" t="inlineStr">
        <is>
          <t>2026-10-08、出力短絡で Q3 のゲート酸化膜が破壊。EN しきい値のデータは有効</t>
        </is>
      </c>
    </row>
    <row r="58" ht="24" customHeight="1" s="51">
      <c r="A58" s="119" t="inlineStr">
        <is>
          <t>2 号機</t>
        </is>
      </c>
      <c r="B58" s="120" t="n">
        <v>14700</v>
      </c>
      <c r="C58" s="123" t="n"/>
      <c r="D58" s="123" t="n"/>
      <c r="E58" s="121">
        <f>IF(COUNT(C58,D58)=2,(D58-C58)*1000,"")</f>
        <v/>
      </c>
      <c r="F58" s="122" t="inlineStr">
        <is>
          <t>9-1 / 9-2（選別手順）</t>
        </is>
      </c>
      <c r="G58" s="120" t="inlineStr"/>
      <c r="H58" s="122" t="inlineStr"/>
    </row>
    <row r="59" ht="24" customHeight="1" s="51">
      <c r="A59" s="119" t="inlineStr">
        <is>
          <t>3 号機</t>
        </is>
      </c>
      <c r="B59" s="120" t="n">
        <v>14700</v>
      </c>
      <c r="C59" s="123" t="n"/>
      <c r="D59" s="123" t="n"/>
      <c r="E59" s="121">
        <f>IF(COUNT(C59,D59)=2,(D59-C59)*1000,"")</f>
        <v/>
      </c>
      <c r="F59" s="122" t="inlineStr">
        <is>
          <t>9-1 / 9-2（選別手順）</t>
        </is>
      </c>
      <c r="G59" s="120" t="inlineStr"/>
      <c r="H59" s="122" t="inlineStr"/>
    </row>
    <row r="61" ht="30" customHeight="1" s="51">
      <c r="A61" s="93" t="inlineStr">
        <is>
          <t>※ 1 号機の 1.30V / 1.55V は実動作中（4-2 / 4-4）の測定値で、9-1 / 9-2 の注入法とは手順が違いますが、どちらも LM5060 の EN しきい値そのものを測っているので直接比較できます。</t>
        </is>
      </c>
    </row>
    <row r="62" ht="30" customHeight="1" s="51">
      <c r="A62" s="93" t="inlineStr">
        <is>
          <t>※ 2 号機以降のデータが揃うと、選別窓 1.15〜1.50V が現実的な歩留まりかどうかが判断できます。2 個とも窓の外なら、窓の設定か R5 の値を見直す必要があります。</t>
        </is>
      </c>
    </row>
  </sheetData>
  <mergeCells count="8">
    <mergeCell ref="A50:H50"/>
    <mergeCell ref="A48:H48"/>
    <mergeCell ref="A62:H62"/>
    <mergeCell ref="A53:H53"/>
    <mergeCell ref="A51:H51"/>
    <mergeCell ref="A52:H52"/>
    <mergeCell ref="A49:H49"/>
    <mergeCell ref="A61:H61"/>
  </mergeCells>
  <dataValidations count="1">
    <dataValidation sqref="H5:H7"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I23"/>
  <sheetViews>
    <sheetView workbookViewId="0">
      <selection activeCell="A1" sqref="A1"/>
    </sheetView>
  </sheetViews>
  <sheetFormatPr baseColWidth="8" defaultColWidth="8.6796875" defaultRowHeight="15" zeroHeight="0" outlineLevelRow="0"/>
  <cols>
    <col width="7" customWidth="1" style="50" min="1" max="1"/>
    <col width="20" customWidth="1" style="50" min="2" max="2"/>
    <col width="34" customWidth="1" style="50" min="3" max="3"/>
    <col width="16" customWidth="1" style="50" min="4" max="4"/>
    <col width="26" customWidth="1" style="50" min="5" max="5"/>
    <col width="7" customWidth="1" style="50" min="6" max="6"/>
    <col width="12" customWidth="1" style="50" min="7" max="7"/>
    <col width="9" customWidth="1" style="50" min="8" max="8"/>
    <col width="26" customWidth="1" style="50" min="9" max="9"/>
  </cols>
  <sheetData>
    <row r="1" ht="21" customHeight="1" s="51">
      <c r="A1" s="52" t="inlineStr">
        <is>
          <t>10_Q3 ゲート保護（R51 / D12）</t>
        </is>
      </c>
    </row>
    <row r="2" ht="27.75" customHeight="1" s="51">
      <c r="A2" s="74" t="inlineStr">
        <is>
          <t>2026-10-08 の Q3 破壊を受けて v2.2.1 で追加した R51（100Ω 直列）と D12（SMAJ15A、ゲート−ソース間クランプ）の検証。</t>
        </is>
      </c>
    </row>
    <row r="3"/>
    <row r="4" ht="30" customHeight="1" s="51">
      <c r="A4" s="65" t="inlineStr">
        <is>
          <t>No.</t>
        </is>
      </c>
      <c r="B4" s="66" t="inlineStr">
        <is>
          <t>項目</t>
        </is>
      </c>
      <c r="C4" s="66" t="inlineStr">
        <is>
          <t>手順・条件</t>
        </is>
      </c>
      <c r="D4" s="66" t="inlineStr">
        <is>
          <t>測定点</t>
        </is>
      </c>
      <c r="E4" s="66" t="inlineStr">
        <is>
          <t>設計値・判定基準</t>
        </is>
      </c>
      <c r="F4" s="66" t="inlineStr">
        <is>
          <t>単位</t>
        </is>
      </c>
      <c r="G4" s="66" t="inlineStr">
        <is>
          <t>実測値</t>
        </is>
      </c>
      <c r="H4" s="66" t="inlineStr">
        <is>
          <t>判定</t>
        </is>
      </c>
      <c r="I4" s="66" t="inlineStr">
        <is>
          <t>備考</t>
        </is>
      </c>
    </row>
    <row r="5" ht="31.5" customHeight="1" s="51">
      <c r="A5" s="67" t="inlineStr">
        <is>
          <t>10-1</t>
        </is>
      </c>
      <c r="B5" s="75" t="inlineStr">
        <is>
          <t>R51 の実装・値</t>
        </is>
      </c>
      <c r="C5" s="75" t="inlineStr">
        <is>
          <t>DMM の抵抗レンジ（無通電）</t>
        </is>
      </c>
      <c r="D5" s="67" t="inlineStr">
        <is>
          <t>TP5 − IC3.10</t>
        </is>
      </c>
      <c r="E5" s="63" t="inlineStr">
        <is>
          <t>100Ω ±5%（C22775）。0-12 と同じ項目。本フェーズの前提として再確認する</t>
        </is>
      </c>
      <c r="F5" s="67" t="inlineStr">
        <is>
          <t>Ω</t>
        </is>
      </c>
      <c r="G5" s="69" t="n"/>
      <c r="H5" s="69" t="n"/>
      <c r="I5" s="69" t="n"/>
    </row>
    <row r="6" ht="31.5" customHeight="1" s="51">
      <c r="A6" s="67" t="inlineStr">
        <is>
          <t>10-2</t>
        </is>
      </c>
      <c r="B6" s="75" t="inlineStr">
        <is>
          <t>D12 の向きと健全性</t>
        </is>
      </c>
      <c r="C6" s="75" t="inlineStr">
        <is>
          <t>DMM のダイオードレンジ（無通電）</t>
        </is>
      </c>
      <c r="D6" s="67" t="inlineStr">
        <is>
          <t>TP5 − TP10</t>
        </is>
      </c>
      <c r="E6" s="63" t="inlineStr">
        <is>
          <t>TP5 を ＋ にして OL、逆向きで 0.6〜0.9V。0-13 と同じ項目</t>
        </is>
      </c>
      <c r="F6" s="67" t="inlineStr">
        <is>
          <t>V</t>
        </is>
      </c>
      <c r="G6" s="69" t="n"/>
      <c r="H6" s="69" t="n"/>
      <c r="I6" s="69" t="n"/>
    </row>
    <row r="7" ht="31.5" customHeight="1" s="51">
      <c r="A7" s="67" t="inlineStr">
        <is>
          <t>10-3</t>
        </is>
      </c>
      <c r="B7" s="75" t="inlineStr">
        <is>
          <t>通常動作時の非導通</t>
        </is>
      </c>
      <c r="C7" s="75" t="inlineStr">
        <is>
          <t>VBUS 29.4V で運転中。2-2 の Vgs 終値を確認</t>
        </is>
      </c>
      <c r="D7" s="67" t="inlineStr">
        <is>
          <t>TP5 − TP10</t>
        </is>
      </c>
      <c r="E7" s="63" t="inlineStr">
        <is>
          <t>Vgs 10〜14V（v2.1.1 実測 11.8V）&lt; SMAJ15A の Vbr min 16.7V。D12 が通常動作で導通しないこと</t>
        </is>
      </c>
      <c r="F7" s="67" t="inlineStr">
        <is>
          <t>V</t>
        </is>
      </c>
      <c r="G7" s="69" t="n"/>
      <c r="H7" s="69" t="n"/>
      <c r="I7" s="69" t="n"/>
    </row>
    <row r="8" ht="31.5" customHeight="1" s="51">
      <c r="A8" s="67" t="inlineStr">
        <is>
          <t>10-4</t>
        </is>
      </c>
      <c r="B8" s="75" t="inlineStr">
        <is>
          <t>ゲート電流への影響</t>
        </is>
      </c>
      <c r="C8" s="75" t="inlineStr">
        <is>
          <t>2-2 / 2-3 の立ち上がりを R51 挿入前（v2.1.1 の 2 号機データ）と比較</t>
        </is>
      </c>
      <c r="D8" s="67" t="inlineStr">
        <is>
          <t>TP5 / TP10</t>
        </is>
      </c>
      <c r="E8" s="63" t="inlineStr">
        <is>
          <t>有意差がないこと。傾き 0.545V/ms と 29.4V で 53.9ms が維持されること。τ = 100Ω × Ciss 4.23nF(max) = 0.42µs は 53.9ms に対し無視できる</t>
        </is>
      </c>
      <c r="F8" s="67" t="inlineStr">
        <is>
          <t>ms</t>
        </is>
      </c>
      <c r="G8" s="69" t="n"/>
      <c r="H8" s="69" t="n"/>
      <c r="I8" s="69" t="n"/>
    </row>
    <row r="9" ht="31.5" customHeight="1" s="51">
      <c r="A9" s="67" t="inlineStr">
        <is>
          <t>10-5</t>
        </is>
      </c>
      <c r="B9" s="75" t="inlineStr">
        <is>
          <t>短絡時の Vgs クランプ（任意）</t>
        </is>
      </c>
      <c r="C9" s="75" t="inlineStr">
        <is>
          <t>★ MDDS30 とパックを必ず外す。電流制限 0.5A の可変電源で VBUS 29.4V。Ch1 = TP5、Ch2 = TP10（GND:TP19）で Vout − GND を短絡</t>
        </is>
      </c>
      <c r="D9" s="67" t="inlineStr">
        <is>
          <t>TP5 − TP10</t>
        </is>
      </c>
      <c r="E9" s="75" t="inlineStr">
        <is>
          <t>Vgs が ±20V（Q3 の定格）を超えないこと。17V 付近でクランプするのが設計どおり</t>
        </is>
      </c>
      <c r="F9" s="67" t="inlineStr">
        <is>
          <t>V</t>
        </is>
      </c>
      <c r="G9" s="69" t="n"/>
      <c r="H9" s="69" t="n"/>
      <c r="I9" s="69" t="n"/>
    </row>
    <row r="10" ht="31.5" customHeight="1" s="51">
      <c r="A10" s="67" t="inlineStr">
        <is>
          <t>10-6</t>
        </is>
      </c>
      <c r="B10" s="75" t="inlineStr">
        <is>
          <t>短絡後の健全性</t>
        </is>
      </c>
      <c r="C10" s="63" t="inlineStr">
        <is>
          <t>10-5 の後、Q3 の健全性を確認</t>
        </is>
      </c>
      <c r="D10" s="67" t="inlineStr">
        <is>
          <t>TP5 / TP10 / TP4</t>
        </is>
      </c>
      <c r="E10" s="63" t="inlineStr">
        <is>
          <t>TP5 − TP10 が非導通、TP10 − TP4 が Q3 のボディダイオード方向のみ導通（0-5 と同じ）。遮断後に Vout が復帰すること</t>
        </is>
      </c>
      <c r="F10" s="67" t="inlineStr">
        <is>
          <t>—</t>
        </is>
      </c>
      <c r="G10" s="69" t="n"/>
      <c r="H10" s="69" t="n"/>
      <c r="I10" s="69" t="n"/>
    </row>
    <row r="11" ht="31.5" customHeight="1" s="51">
      <c r="A11" s="67" t="n"/>
      <c r="B11" s="75" t="n"/>
      <c r="C11" s="63" t="n"/>
      <c r="D11" s="67" t="n"/>
      <c r="E11" s="75" t="n"/>
      <c r="F11" s="67" t="n"/>
      <c r="G11" s="69" t="n"/>
      <c r="H11" s="69" t="n"/>
      <c r="I11" s="69" t="n"/>
    </row>
    <row r="12" ht="31.5" customHeight="1" s="51">
      <c r="A12" s="67" t="inlineStr">
        <is>
          <t>★ 10-5 は任意項目です。実施する場合は MDDS30 とパックを必ず外してください。基板側だけなら C7 47µF ＋ C11 1µF の放電で済みますが、パックを繋いだままだと数百 A が流れます。</t>
        </is>
      </c>
      <c r="B12" s="75" t="n"/>
      <c r="C12" s="75" t="n"/>
      <c r="D12" s="67" t="n"/>
      <c r="E12" s="75" t="n"/>
      <c r="F12" s="67" t="n"/>
      <c r="G12" s="69" t="n"/>
      <c r="H12" s="69" t="n"/>
      <c r="I12" s="69" t="n"/>
    </row>
    <row r="13" ht="31.5" customHeight="1" s="51">
      <c r="A13" s="67" t="inlineStr">
        <is>
          <t>※ R51 / D12 の役割：出力短絡で Vout が急落すると、C9 ∥ C15（44nF、GATE−GND 間）がゲートを 41V 付近に保持し、Vgs が定格 ±20V を超えてゲート酸化膜が貫通します。R51 が 44nF をゲートから切り離し、D12 が Q3 の Ciss 3.25nF typ（max 4.23nF）分だけをクランプします。クランプ電流は 4.7A から 0.68A に下がります。</t>
        </is>
      </c>
      <c r="B13" s="63" t="n"/>
      <c r="C13" s="75" t="n"/>
      <c r="D13" s="67" t="n"/>
      <c r="E13" s="75" t="n"/>
      <c r="F13" s="67" t="n"/>
      <c r="G13" s="69" t="n"/>
      <c r="H13" s="69" t="n"/>
      <c r="I13" s="69" t="n"/>
    </row>
    <row r="14" ht="204" customHeight="1" s="51">
      <c r="A14" s="76" t="inlineStr">
        <is>
          <t>※ 2026-10-08 の破壊機序は「ゲート酸化膜の貫通 → 制御喪失 → 熱暴走で D−S も短絡」です。最終状態は D−S 短絡ですが、一次故障はゲートです。TP5 − TP10 導通 / TP5 − TP2 非導通 / Q1・Q2 無傷、で確定しています。</t>
        </is>
      </c>
      <c r="B14" s="59" t="n"/>
      <c r="C14" s="59" t="n"/>
      <c r="D14" s="59" t="n"/>
      <c r="E14" s="59" t="n"/>
      <c r="F14" s="59" t="n"/>
      <c r="G14" s="59" t="n"/>
      <c r="H14" s="59" t="n"/>
      <c r="I14" s="59" t="n"/>
    </row>
    <row r="15" ht="204" customHeight="1" s="51">
      <c r="A15" s="77" t="inlineStr">
        <is>
          <t>※ Q1 / Q2 が同じ事故で無傷だったのは、LM74610 がゲート−ソース間を直接駆動しているためです。ゲート−GND 間に大容量を持つのは Q3 だけでした。LM5060（IC3）も健全で、ゲート出力が約 22µA のチャージポンプで電流制限されているためです。</t>
        </is>
      </c>
      <c r="B15" s="59" t="n"/>
      <c r="C15" s="59" t="n"/>
      <c r="D15" s="59" t="n"/>
      <c r="E15" s="59" t="n"/>
      <c r="F15" s="59" t="n"/>
      <c r="G15" s="59" t="n"/>
      <c r="H15" s="59" t="n"/>
      <c r="I15" s="59" t="n"/>
    </row>
    <row r="16" ht="15" customHeight="1" s="51">
      <c r="A16" s="78" t="inlineStr">
        <is>
          <t>※ D12 は Q3 の足元に配置する指示です。v2.2.1 では D12 のカソードが Q3 のゲートパッドから 1.60mm、クランプループ周長が約 11.5mm です。</t>
        </is>
      </c>
      <c r="B16" s="78" t="n"/>
      <c r="C16" s="78" t="n"/>
      <c r="D16" s="78" t="n"/>
      <c r="E16" s="59" t="n"/>
      <c r="F16" s="59" t="n"/>
      <c r="G16" s="59" t="n"/>
      <c r="H16" s="59" t="n"/>
      <c r="I16" s="59" t="n"/>
    </row>
    <row r="17" ht="44" customHeight="1" s="51">
      <c r="A17" s="63" t="inlineStr">
        <is>
          <t>※ ★ Q1〜Q3 を BSC028N06NS に変更してはいけません。v2.2.1 には v3.0.0 のファームウェア #13（2ms 遮断）が無いため、持続的な短絡では LM5060 の VDS 保護（74〜106ms）に頼ることになり、Q3 に 8.6J が入ります。Tc 60℃ での SOA 許容電流は CSD18540Q5B（RθJC 0.8K/W・Tj 175℃）が 5.0A、BSC028N06NS（RθJC 1.5K/W・Tj 150℃）が 2.1A で、後者は 4A に対して SOA を超えます。</t>
        </is>
      </c>
      <c r="B17" s="63" t="n"/>
      <c r="C17" s="79" t="n"/>
      <c r="D17" s="63" t="n"/>
    </row>
    <row r="18"/>
    <row r="19" ht="638.8" customHeight="1" s="51">
      <c r="A19" s="70" t="n"/>
    </row>
    <row r="20" ht="314.15" customHeight="1" s="51">
      <c r="A20" s="74" t="n"/>
    </row>
    <row r="21" ht="291" customHeight="1" s="51">
      <c r="A21" s="74" t="n"/>
    </row>
    <row r="22" ht="204.45" customHeight="1" s="51">
      <c r="A22" s="70" t="n"/>
    </row>
    <row r="23" ht="204.45" customHeight="1" s="51">
      <c r="A23" s="74"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I3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50" min="1" max="1"/>
    <col width="18" customWidth="1" style="50" min="2" max="2"/>
    <col width="14" customWidth="1" style="50" min="3" max="4"/>
    <col width="12" customWidth="1" style="50" min="5" max="5"/>
    <col width="34" customWidth="1" style="50" min="6" max="6"/>
  </cols>
  <sheetData>
    <row r="1" ht="21" customHeight="1" s="51">
      <c r="A1" s="94" t="inlineStr">
        <is>
          <t>設計値と実測値の比較サマリ</t>
        </is>
      </c>
    </row>
    <row r="2" ht="15" customHeight="1" s="51">
      <c r="A2" s="64" t="inlineStr">
        <is>
          <t>各シートに入力すると自動で反映されます（灰色セル）。</t>
        </is>
      </c>
    </row>
    <row r="4" ht="15" customHeight="1" s="51">
      <c r="A4" s="61" t="inlineStr">
        <is>
          <t>項目</t>
        </is>
      </c>
      <c r="B4" s="61" t="inlineStr">
        <is>
          <t>設計値</t>
        </is>
      </c>
      <c r="C4" s="61" t="inlineStr">
        <is>
          <t>実測値</t>
        </is>
      </c>
      <c r="D4" s="61" t="inlineStr">
        <is>
          <t>差</t>
        </is>
      </c>
      <c r="E4" s="61" t="inlineStr">
        <is>
          <t>判定</t>
        </is>
      </c>
      <c r="F4" s="61" t="inlineStr">
        <is>
          <t>備考</t>
        </is>
      </c>
    </row>
    <row r="5" ht="15" customHeight="1" s="51">
      <c r="A5" s="85" t="inlineStr">
        <is>
          <t>UVLO 遮断</t>
        </is>
      </c>
      <c r="B5" s="85" t="inlineStr">
        <is>
          <t>19.5 V</t>
        </is>
      </c>
      <c r="C5" s="95">
        <f>1_低電圧基本動作!G5</f>
        <v/>
      </c>
      <c r="D5" s="96">
        <f>IF(ISNUMBER(C5),C5-19.5,"")</f>
        <v/>
      </c>
      <c r="E5" s="56" t="n"/>
      <c r="F5" s="56" t="n"/>
    </row>
    <row r="6" ht="15" customHeight="1" s="51">
      <c r="A6" s="85" t="inlineStr">
        <is>
          <t>UVLO 復帰</t>
        </is>
      </c>
      <c r="B6" s="85" t="inlineStr">
        <is>
          <t>17.4 V</t>
        </is>
      </c>
      <c r="C6" s="95">
        <f>1_低電圧基本動作!G6</f>
        <v/>
      </c>
      <c r="D6" s="96">
        <f>IF(ISNUMBER(C6),C6-17.4,"")</f>
        <v/>
      </c>
      <c r="E6" s="56" t="n"/>
      <c r="F6" s="56" t="n"/>
    </row>
    <row r="7" ht="15" customHeight="1" s="51">
      <c r="A7" s="85" t="inlineStr">
        <is>
          <t>OVP 遮断</t>
        </is>
      </c>
      <c r="B7" s="85" t="inlineStr">
        <is>
          <t>34.0 V</t>
        </is>
      </c>
      <c r="C7" s="95">
        <f>1_低電圧基本動作!G7</f>
        <v/>
      </c>
      <c r="D7" s="96">
        <f>IF(ISNUMBER(C7),C7-34,"")</f>
        <v/>
      </c>
      <c r="E7" s="56" t="n"/>
      <c r="F7" s="56" t="n"/>
    </row>
    <row r="8" ht="15" customHeight="1" s="51">
      <c r="A8" s="85" t="inlineStr">
        <is>
          <t>OVP 復帰</t>
        </is>
      </c>
      <c r="B8" s="85" t="inlineStr">
        <is>
          <t>30.1 V</t>
        </is>
      </c>
      <c r="C8" s="95">
        <f>1_低電圧基本動作!G8</f>
        <v/>
      </c>
      <c r="D8" s="96">
        <f>IF(ISNUMBER(C8),C8-30.1,"")</f>
        <v/>
      </c>
      <c r="E8" s="56" t="n"/>
      <c r="F8" s="56" t="n"/>
    </row>
    <row r="9" ht="15" customHeight="1" s="51">
      <c r="A9" s="85" t="inlineStr">
        <is>
          <t>EN 電圧（25℃）</t>
        </is>
      </c>
      <c r="B9" s="85" t="inlineStr">
        <is>
          <t>3.9 V</t>
        </is>
      </c>
      <c r="C9" s="95">
        <f>1_低電圧基本動作!G10</f>
        <v/>
      </c>
      <c r="D9" s="96">
        <f>IF(ISNUMBER(C9),C9-3.9,"")</f>
        <v/>
      </c>
      <c r="E9" s="56" t="n"/>
      <c r="F9" s="56" t="n"/>
    </row>
    <row r="10" ht="15" customHeight="1" s="51">
      <c r="A10" s="97" t="inlineStr">
        <is>
          <t>立ち上がり時間</t>
        </is>
      </c>
      <c r="B10" s="85" t="inlineStr">
        <is>
          <t>53.9 ms</t>
        </is>
      </c>
      <c r="C10" s="95">
        <f>2_起動波形!G7</f>
        <v/>
      </c>
      <c r="D10" s="96">
        <f>IF(ISNUMBER(C10),C10-53.9,"")</f>
        <v/>
      </c>
      <c r="E10" s="56" t="n"/>
      <c r="F10" s="56" t="n"/>
    </row>
    <row r="11" ht="15" customHeight="1" s="51">
      <c r="A11" s="97" t="inlineStr">
        <is>
          <t>突入電流</t>
        </is>
      </c>
      <c r="B11" s="85" t="inlineStr">
        <is>
          <t>2.0 A</t>
        </is>
      </c>
      <c r="C11" s="95">
        <f>2_起動波形!G8</f>
        <v/>
      </c>
      <c r="D11" s="96">
        <f>IF(ISNUMBER(C11),C11-2,"")</f>
        <v/>
      </c>
      <c r="E11" s="56" t="n"/>
      <c r="F11" s="56" t="n"/>
    </row>
    <row r="12" ht="15" customHeight="1" s="51">
      <c r="A12" s="97" t="inlineStr">
        <is>
          <t>EN 立ち下がりしきい値</t>
        </is>
      </c>
      <c r="B12" s="85" t="inlineStr">
        <is>
          <t>1.15〜1.50 V</t>
        </is>
      </c>
      <c r="C12" s="95">
        <f>9_ENしきい値選別!G6</f>
        <v/>
      </c>
      <c r="D12" s="95" t="inlineStr">
        <is>
          <t>—</t>
        </is>
      </c>
      <c r="E12" s="56" t="n"/>
      <c r="F12" s="56" t="n"/>
    </row>
    <row r="13" ht="15" customHeight="1" s="51">
      <c r="A13" s="97" t="inlineStr">
        <is>
          <t>EN ヒステリシス</t>
        </is>
      </c>
      <c r="B13" s="85" t="inlineStr">
        <is>
          <t>200 mV</t>
        </is>
      </c>
      <c r="C13" s="95">
        <f>9_ENしきい値選別!G7</f>
        <v/>
      </c>
      <c r="D13" s="96">
        <f>IF(ISNUMBER(C13),C13-200,"")</f>
        <v/>
      </c>
      <c r="E13" s="56" t="n"/>
      <c r="F13" s="56" t="n"/>
    </row>
    <row r="14" ht="15" customHeight="1" s="51">
      <c r="A14" s="85" t="inlineStr">
        <is>
          <t>12V レール</t>
        </is>
      </c>
      <c r="B14" s="85" t="inlineStr">
        <is>
          <t>12.0 V</t>
        </is>
      </c>
      <c r="C14" s="95">
        <f>5_ブレーキチョッパ!G5</f>
        <v/>
      </c>
      <c r="D14" s="96">
        <f>IF(ISNUMBER(C14),C14-12,"")</f>
        <v/>
      </c>
      <c r="E14" s="56" t="n"/>
      <c r="F14" s="56" t="n"/>
    </row>
    <row r="15" ht="15" customHeight="1" s="51">
      <c r="A15" s="97" t="inlineStr">
        <is>
          <t>基準電圧</t>
        </is>
      </c>
      <c r="B15" s="85" t="inlineStr">
        <is>
          <t>2.495 V</t>
        </is>
      </c>
      <c r="C15" s="95">
        <f>5_ブレーキチョッパ!G6</f>
        <v/>
      </c>
      <c r="D15" s="96">
        <f>IF(ISNUMBER(C15),C15-2.495,"")</f>
        <v/>
      </c>
      <c r="E15" s="56" t="n"/>
      <c r="F15" s="56" t="n"/>
    </row>
    <row r="16" ht="15" customHeight="1" s="51">
      <c r="A16" s="97" t="inlineStr">
        <is>
          <t>チョッパ動作点</t>
        </is>
      </c>
      <c r="B16" s="85" t="inlineStr">
        <is>
          <t>32.2 V</t>
        </is>
      </c>
      <c r="C16" s="95">
        <f>5_ブレーキチョッパ!G11</f>
        <v/>
      </c>
      <c r="D16" s="96">
        <f>IF(ISNUMBER(C16),C16-32.2,"")</f>
        <v/>
      </c>
      <c r="E16" s="56" t="n"/>
      <c r="F16" s="56" t="n"/>
    </row>
    <row r="17" ht="15" customHeight="1" s="51">
      <c r="A17" s="97" t="inlineStr">
        <is>
          <t>チョッパ復帰点</t>
        </is>
      </c>
      <c r="B17" s="85" t="inlineStr">
        <is>
          <t>30.8 V</t>
        </is>
      </c>
      <c r="C17" s="95">
        <f>5_ブレーキチョッパ!G12</f>
        <v/>
      </c>
      <c r="D17" s="96">
        <f>IF(ISNUMBER(C17),C17-30.8,"")</f>
        <v/>
      </c>
      <c r="E17" s="56" t="n"/>
      <c r="F17" s="56" t="n"/>
    </row>
    <row r="18" ht="15" customHeight="1" s="51">
      <c r="A18" s="97" t="inlineStr">
        <is>
          <t>チョッパ電流</t>
        </is>
      </c>
      <c r="B18" s="85" t="inlineStr">
        <is>
          <t>0.161 A</t>
        </is>
      </c>
      <c r="C18" s="95">
        <f>5_ブレーキチョッパ!G15</f>
        <v/>
      </c>
      <c r="D18" s="96">
        <f>IF(ISNUMBER(C18),C18-0.161,"")</f>
        <v/>
      </c>
      <c r="E18" s="56" t="n"/>
      <c r="F18" s="56" t="n"/>
    </row>
    <row r="19">
      <c r="A19" s="97" t="inlineStr">
        <is>
          <t>Vgs 終値（クランプ余裕）</t>
        </is>
      </c>
      <c r="B19" s="85" t="inlineStr">
        <is>
          <t>12.0 V</t>
        </is>
      </c>
      <c r="C19" s="95">
        <f>10_Q3ゲート保護!G7</f>
        <v/>
      </c>
      <c r="D19" s="96">
        <f>IF(ISNUMBER(C19),C19-12,"")</f>
        <v/>
      </c>
      <c r="E19" s="56" t="n"/>
      <c r="F19" s="56" t="inlineStr">
        <is>
          <t>D12 Vbr min 16.7V に対する余裕</t>
        </is>
      </c>
    </row>
    <row r="20" ht="15" customHeight="1" s="51">
      <c r="A20" s="54" t="inlineStr">
        <is>
          <t>実測でのみ得られる値</t>
        </is>
      </c>
    </row>
    <row r="21" ht="15" customHeight="1" s="51">
      <c r="A21" s="61" t="inlineStr">
        <is>
          <t>項目</t>
        </is>
      </c>
      <c r="B21" s="61" t="inlineStr">
        <is>
          <t>実測値</t>
        </is>
      </c>
      <c r="C21" s="61" t="inlineStr">
        <is>
          <t>単位</t>
        </is>
      </c>
      <c r="D21" s="61" t="inlineStr">
        <is>
          <t>この値で決まること</t>
        </is>
      </c>
    </row>
    <row r="22" ht="43.5" customHeight="1" s="51">
      <c r="A22" s="63" t="inlineStr">
        <is>
          <t>MDDS30 入力容量</t>
        </is>
      </c>
      <c r="B22" s="73">
        <f>2_起動波形!G5</f>
        <v/>
      </c>
      <c r="C22" s="63" t="inlineStr">
        <is>
          <t>µF</t>
        </is>
      </c>
      <c r="D22" s="63" t="inlineStr">
        <is>
          <t>C15 / C16 の実装可否（3580µF で実装済み）</t>
        </is>
      </c>
    </row>
    <row r="23" ht="15" customHeight="1" s="51">
      <c r="A23" s="62" t="inlineStr">
        <is>
          <t>筐体内周囲温度</t>
        </is>
      </c>
      <c r="B23" s="73">
        <f>3_熱特性!G5</f>
        <v/>
      </c>
      <c r="C23" s="63" t="inlineStr">
        <is>
          <t>℃</t>
        </is>
      </c>
      <c r="D23" s="63" t="inlineStr">
        <is>
          <t>R5 の最終値</t>
        </is>
      </c>
    </row>
    <row r="24" ht="29.25" customHeight="1" s="51">
      <c r="A24" s="63" t="inlineStr">
        <is>
          <t>Q1 − TH1 オフセット</t>
        </is>
      </c>
      <c r="B24" s="73">
        <f>3_熱特性!C18</f>
        <v/>
      </c>
      <c r="C24" s="63" t="inlineStr">
        <is>
          <t>℃</t>
        </is>
      </c>
      <c r="D24" s="63" t="inlineStr">
        <is>
          <t>R5 の最終値、遮断点の妥当性</t>
        </is>
      </c>
    </row>
    <row r="25" ht="29.25" customHeight="1" s="51">
      <c r="A25" s="62" t="inlineStr">
        <is>
          <t>ストール電流</t>
        </is>
      </c>
      <c r="B25" s="73">
        <f>3_熱特性!G10</f>
        <v/>
      </c>
      <c r="C25" s="63" t="inlineStr">
        <is>
          <t>A</t>
        </is>
      </c>
      <c r="D25" s="63" t="inlineStr">
        <is>
          <t>R1（OCP しきい値）の妥当性</t>
        </is>
      </c>
    </row>
    <row r="26" ht="43.5" customHeight="1" s="51">
      <c r="A26" s="63" t="inlineStr">
        <is>
          <t>R11 フランジ温度</t>
        </is>
      </c>
      <c r="B26" s="73">
        <f>3_熱特性!G12</f>
        <v/>
      </c>
      <c r="C26" s="63" t="inlineStr">
        <is>
          <t>℃</t>
        </is>
      </c>
      <c r="D26" s="63" t="inlineStr">
        <is>
          <t>R11 の実装品質、熱抵抗の再確認</t>
        </is>
      </c>
    </row>
    <row r="27" ht="29.25" customHeight="1" s="51">
      <c r="A27" s="62" t="inlineStr">
        <is>
          <t>バスリプル（18kHz）</t>
        </is>
      </c>
      <c r="B27" s="73">
        <f>6_走行時総合!G5</f>
        <v/>
      </c>
      <c r="C27" s="63" t="inlineStr">
        <is>
          <t>mV</t>
        </is>
      </c>
      <c r="D27" s="63" t="inlineStr">
        <is>
          <t>C5 のリプル耐性の余裕</t>
        </is>
      </c>
    </row>
    <row r="28" ht="43.5" customHeight="1" s="51">
      <c r="A28" s="62" t="inlineStr">
        <is>
          <t>制動時の最大 Vout</t>
        </is>
      </c>
      <c r="B28" s="73">
        <f>6_走行時総合!G11</f>
        <v/>
      </c>
      <c r="C28" s="63" t="inlineStr">
        <is>
          <t>V</t>
        </is>
      </c>
      <c r="D28" s="63" t="inlineStr">
        <is>
          <t>R11 の最終値（200Ω で足りるか）</t>
        </is>
      </c>
    </row>
    <row r="29" ht="29.25" customHeight="1" s="51">
      <c r="A29" s="63" t="inlineStr">
        <is>
          <t>TP3−TP12 電位差</t>
        </is>
      </c>
      <c r="B29" s="73">
        <f>7_GND分離!G5</f>
        <v/>
      </c>
      <c r="C29" s="63" t="inlineStr">
        <is>
          <t>mV</t>
        </is>
      </c>
      <c r="D29" s="63" t="inlineStr">
        <is>
          <t>GND 分離設計の妥当性</t>
        </is>
      </c>
    </row>
    <row r="30" ht="43.5" customHeight="1" s="51">
      <c r="A30" s="63" t="inlineStr">
        <is>
          <t>LED 電流（34V）</t>
        </is>
      </c>
      <c r="B30" s="73">
        <f>8_外部スイッチ・LED!G8</f>
        <v/>
      </c>
      <c r="C30" s="63" t="inlineStr">
        <is>
          <t>mA</t>
        </is>
      </c>
      <c r="D30" s="63" t="inlineStr">
        <is>
          <t>F3 の品種（100mA 品で足りるか）</t>
        </is>
      </c>
    </row>
    <row r="31" ht="44" customHeight="1" s="51">
      <c r="A31" s="75" t="inlineStr">
        <is>
          <t>サーマル遮断点（算出）</t>
        </is>
      </c>
      <c r="B31" s="98">
        <f>9_ENしきい値選別!B21</f>
        <v/>
      </c>
      <c r="C31" s="63" t="inlineStr">
        <is>
          <t>℃</t>
        </is>
      </c>
      <c r="D31" s="75" t="inlineStr">
        <is>
          <t>放電末期での遮断点。65℃ 環境での余裕</t>
        </is>
      </c>
    </row>
    <row r="32" ht="15" customHeight="1" s="51">
      <c r="A32" s="54" t="inlineStr">
        <is>
          <t>総合判定</t>
        </is>
      </c>
      <c r="B32" s="56" t="n"/>
    </row>
    <row r="33" ht="15" customHeight="1" s="51">
      <c r="A33" s="54" t="inlineStr">
        <is>
          <t>次版への申し送り事項</t>
        </is>
      </c>
      <c r="B33" s="56" t="n"/>
      <c r="C33" s="56" t="n"/>
      <c r="D33" s="56" t="n"/>
      <c r="E33" s="56" t="n"/>
      <c r="F33" s="56" t="n"/>
    </row>
    <row r="34" ht="15" customHeight="1" s="51">
      <c r="B34" s="56" t="n"/>
      <c r="C34" s="56" t="n"/>
      <c r="D34" s="56" t="n"/>
      <c r="E34" s="56" t="n"/>
      <c r="F34" s="56" t="n"/>
    </row>
    <row r="35" ht="15" customHeight="1" s="51">
      <c r="B35" s="56" t="n"/>
      <c r="C35" s="56" t="n"/>
      <c r="D35" s="56" t="n"/>
      <c r="E35" s="56" t="n"/>
      <c r="F35" s="56" t="n"/>
    </row>
    <row r="36" ht="15" customHeight="1" s="51">
      <c r="B36" s="56" t="n"/>
      <c r="C36" s="56" t="n"/>
      <c r="D36" s="56" t="n"/>
      <c r="E36" s="56" t="n"/>
      <c r="F36" s="56" t="n"/>
    </row>
  </sheetData>
  <dataValidations count="1">
    <dataValidation sqref="E5:E18"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I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50" min="1" max="1"/>
    <col width="22" customWidth="1" style="50" min="2" max="2"/>
    <col width="34" customWidth="1" style="50" min="3" max="3"/>
    <col width="44" customWidth="1" style="50" min="4" max="4"/>
  </cols>
  <sheetData>
    <row r="1" ht="21" customHeight="1" s="51">
      <c r="A1" s="52" t="inlineStr">
        <is>
          <t>v2.0.0 からの変更履歴</t>
        </is>
      </c>
    </row>
    <row r="2" ht="15" customHeight="1" s="51">
      <c r="A2" s="64" t="inlineStr">
        <is>
          <t>試験時に設計値の根拠をたどるための記録。</t>
        </is>
      </c>
    </row>
    <row r="4" ht="15" customHeight="1" s="51">
      <c r="A4" s="61" t="inlineStr">
        <is>
          <t>版</t>
        </is>
      </c>
      <c r="B4" s="61" t="inlineStr">
        <is>
          <t>対象</t>
        </is>
      </c>
      <c r="C4" s="61" t="inlineStr">
        <is>
          <t>変更内容</t>
        </is>
      </c>
      <c r="D4" s="61" t="inlineStr">
        <is>
          <t>理由・根拠</t>
        </is>
      </c>
    </row>
    <row r="5" ht="42" customHeight="1" s="51">
      <c r="A5" s="99" t="inlineStr">
        <is>
          <t>v2.1.0</t>
        </is>
      </c>
      <c r="B5" s="99" t="inlineStr">
        <is>
          <t>R20</t>
        </is>
      </c>
      <c r="C5" s="100" t="inlineStr">
        <is>
          <t>上端の接続先を分圧ノードから 12V レール（Chopper_12V）へ修正</t>
        </is>
      </c>
      <c r="D5" s="99" t="inlineStr">
        <is>
          <t>TL431 にバイアス電流が流れず VREF が立たなかった。動作点では分圧ノードと VREF が同電位になるため、原理的にカソード電流が得られない構成だった</t>
        </is>
      </c>
    </row>
    <row r="6" ht="42" customHeight="1" s="51">
      <c r="A6" s="99" t="inlineStr">
        <is>
          <t>v2.1.0</t>
        </is>
      </c>
      <c r="B6" s="99" t="inlineStr">
        <is>
          <t>U2 の入力</t>
        </is>
      </c>
      <c r="C6" s="99" t="inlineStr">
        <is>
          <t>pin3(IN+) = VREF、pin1(IN−) = Chopper_Sense に入れ替え</t>
        </is>
      </c>
      <c r="D6" s="100" t="inlineStr">
        <is>
          <t>チョッパを fail-off 構成にするため。過電圧時に OUT が Low を引く向きにする</t>
        </is>
      </c>
    </row>
    <row r="7" ht="42" customHeight="1" s="51">
      <c r="A7" s="99" t="inlineStr">
        <is>
          <t>v2.1.0</t>
        </is>
      </c>
      <c r="B7" s="99" t="inlineStr">
        <is>
          <t>Q5 / R21</t>
        </is>
      </c>
      <c r="C7" s="99" t="inlineStr">
        <is>
          <t>MMBT3906 による PNP 反転段を追加（R21 = 22kΩ）</t>
        </is>
      </c>
      <c r="D7" s="99" t="inlineStr">
        <is>
          <t>LM397 がオープンコレクタのため、能動的にオンさせないと Q4 が駆動されない構成にする</t>
        </is>
      </c>
    </row>
    <row r="8" ht="42" customHeight="1" s="51">
      <c r="A8" s="99" t="inlineStr">
        <is>
          <t>v2.1.0</t>
        </is>
      </c>
      <c r="B8" s="99" t="inlineStr">
        <is>
          <t>R19</t>
        </is>
      </c>
      <c r="C8" s="99" t="inlineStr">
        <is>
          <t>Chopper_Sig のプルアップから Q5 のベース−エミッタ間プルアップへ役割変更</t>
        </is>
      </c>
      <c r="D8" s="99" t="inlineStr">
        <is>
          <t>Q5 のオフ状態を保持するため。値は 10kΩ のまま</t>
        </is>
      </c>
    </row>
    <row r="9" ht="42" customHeight="1" s="51">
      <c r="A9" s="99" t="inlineStr">
        <is>
          <t>v2.1.0</t>
        </is>
      </c>
      <c r="B9" s="99" t="inlineStr">
        <is>
          <t>R14</t>
        </is>
      </c>
      <c r="C9" s="99" t="inlineStr">
        <is>
          <t>953kΩ → 1MΩ、接続先を U2 の OUT から Q5 のコレクタへ変更</t>
        </is>
      </c>
      <c r="D9" s="100" t="inlineStr">
        <is>
          <t>帰還ノードの振幅が 10.8V から 11.9V に変わったためヒステリシス幅を再計算。ΔVout = 1.40V</t>
        </is>
      </c>
    </row>
    <row r="10" ht="42" customHeight="1" s="51">
      <c r="A10" s="99" t="inlineStr">
        <is>
          <t>v2.1.0</t>
        </is>
      </c>
      <c r="B10" s="99" t="inlineStr">
        <is>
          <t>R11</t>
        </is>
      </c>
      <c r="C10" s="99" t="inlineStr">
        <is>
          <t>27Ω → 200Ω（RESI TPAN0263F200RK9）</t>
        </is>
      </c>
      <c r="D10" s="99" t="inlineStr">
        <is>
          <t>fail-on 時の消費を 38.4W から 5.2W に下げるため。当初は実効熱抵抗 5.8℃/W で周囲 65℃ でもフランジ 95℃ に収まる想定だったが、v2.1.1 の実測で 18℃/W 前後と判明し、連続導通時の平衡は 158℃ になる。最終値は 6-6 / 6-7 の回生プロファイル実測で決める</t>
        </is>
      </c>
    </row>
    <row r="11" ht="42" customHeight="1" s="51">
      <c r="A11" s="99" t="inlineStr">
        <is>
          <t>v2.1.0</t>
        </is>
      </c>
      <c r="B11" s="99" t="inlineStr">
        <is>
          <t>C17</t>
        </is>
      </c>
      <c r="C11" s="99" t="inlineStr">
        <is>
          <t>U2 の電源に 1µF のデカップリングを追加</t>
        </is>
      </c>
      <c r="D11" s="99" t="inlineStr">
        <is>
          <t>LM397 データシートの Layout Guidelines に従う</t>
        </is>
      </c>
    </row>
    <row r="12" ht="42" customHeight="1" s="51">
      <c r="A12" s="99" t="inlineStr">
        <is>
          <t>v2.1.0</t>
        </is>
      </c>
      <c r="B12" s="99" t="inlineStr">
        <is>
          <t>C15 / C16</t>
        </is>
      </c>
      <c r="C12" s="99" t="inlineStr">
        <is>
          <t>22nF / 0.15µF を実装（v2.0.0 は DNP）</t>
        </is>
      </c>
      <c r="D12" s="99" t="inlineStr">
        <is>
          <t>MDDS30 の入力容量を 100Hz で実測し 3580µF。未実装では突入電流が 4.0A となり基準 2.4A を超えるため</t>
        </is>
      </c>
    </row>
    <row r="13" ht="42" customHeight="1" s="51">
      <c r="A13" s="99" t="inlineStr">
        <is>
          <t>v2.1.0</t>
        </is>
      </c>
      <c r="B13" s="99" t="inlineStr">
        <is>
          <t>TP21 / TP23</t>
        </is>
      </c>
      <c r="C13" s="99" t="inlineStr">
        <is>
          <t>Q4 ドレインと Q5 コレクタのテストポイントを追加</t>
        </is>
      </c>
      <c r="D13" s="100" t="inlineStr">
        <is>
          <t>回生プロファイルの測定と駆動段の健全性確認のため</t>
        </is>
      </c>
    </row>
    <row r="14" ht="42" customHeight="1" s="51">
      <c r="A14" s="99" t="inlineStr">
        <is>
          <t>v2.1.0</t>
        </is>
      </c>
      <c r="B14" s="99" t="inlineStr">
        <is>
          <t>TP3 / TP12 ほか</t>
        </is>
      </c>
      <c r="C14" s="99" t="inlineStr">
        <is>
          <t>GND テストポイントの一部をスルーホール化</t>
        </is>
      </c>
      <c r="D14" s="100" t="inlineStr">
        <is>
          <t>ミノムシクリップで固定し、測定時に両手を空けるため</t>
        </is>
      </c>
    </row>
    <row r="15" ht="42" customHeight="1" s="51">
      <c r="A15" s="99" t="inlineStr">
        <is>
          <t>v2.1.0</t>
        </is>
      </c>
      <c r="B15" s="100" t="inlineStr">
        <is>
          <t>ポリスイッチ</t>
        </is>
      </c>
      <c r="C15" s="100" t="inlineStr">
        <is>
          <t>チョッパ経路への追加を検討したが不採用</t>
        </is>
      </c>
      <c r="D15" s="99" t="inlineStr">
        <is>
          <t>R11 を 200Ω にしたことで fail-on 時の発熱が問題にならなくなったため。低バス電圧（19.5V / 0.72A）では 0.5A 品がトリップしないという制約もあった</t>
        </is>
      </c>
    </row>
    <row r="16" ht="42" customHeight="1" s="51">
      <c r="A16" s="99" t="inlineStr">
        <is>
          <t>v2.1.1</t>
        </is>
      </c>
      <c r="B16" s="99" t="inlineStr">
        <is>
          <t>J4</t>
        </is>
      </c>
      <c r="C16" s="99" t="inlineStr">
        <is>
          <t>2 端子 → 4 端子（JST XA S04B-XASK-1、側面実装）</t>
        </is>
      </c>
      <c r="D16" s="99" t="inlineStr">
        <is>
          <t>LED 付き非常停止スイッチを採用。pin1 Vout_after_PPTC / pin2 GND / pin3 EN_1 側 / pin4 EN_2 側。GND を Vout と接点の間に置き、隣接短絡時の挙動を安全側にした</t>
        </is>
      </c>
    </row>
    <row r="17" ht="42" customHeight="1" s="51">
      <c r="A17" s="99" t="inlineStr">
        <is>
          <t>v2.1.1</t>
        </is>
      </c>
      <c r="B17" s="99" t="inlineStr">
        <is>
          <t>F3</t>
        </is>
      </c>
      <c r="C17" s="99" t="inlineStr">
        <is>
          <t>1206L010/60NR（PPTC）を Vout と J4 pin1 の間に追加</t>
        </is>
      </c>
      <c r="D17" s="99" t="inlineStr">
        <is>
          <t>LED 線が筐体外に出るため、短絡時に Vout が GND に落ちる経路を保護する</t>
        </is>
      </c>
    </row>
    <row r="18" ht="42" customHeight="1" s="51">
      <c r="A18" s="99" t="inlineStr">
        <is>
          <t>v2.1.1 実測</t>
        </is>
      </c>
      <c r="B18" s="99" t="inlineStr">
        <is>
          <t>R11 の熱抵抗</t>
        </is>
      </c>
      <c r="C18" s="100" t="inlineStr">
        <is>
          <t>実効熱抵抗を 5.8℃/W から 18℃/W 前後へ改訂（設計変更ではなく実測結果）</t>
        </is>
      </c>
      <c r="D18" s="99" t="inlineStr">
        <is>
          <t>32.5V / 5.28W で 120℃ に達しても平衡せず。当初値は v2.0.0 の 14.1W・飽和前の測定で、低電力域での自然対流の悪化を織り込めていなかった</t>
        </is>
      </c>
    </row>
    <row r="19" ht="55.5" customHeight="1" s="51">
      <c r="A19" s="99" t="inlineStr">
        <is>
          <t>v2.1.1 実測</t>
        </is>
      </c>
      <c r="B19" s="99" t="inlineStr">
        <is>
          <t>LM5060 EN の解釈</t>
        </is>
      </c>
      <c r="C19" s="101" t="inlineStr">
        <is>
          <t>判定を温度から EN 電圧に変更。R5 を 14.7kΩ → 3.0kΩ に変更予定、合格窓 1.15〜1.50V の選別試験を追加</t>
        </is>
      </c>
      <c r="D19" s="99" t="inlineStr">
        <is>
          <t>EN は比較器ではなくロジック入力で、0.80V / 2.00V は保証されたロジックレベル。実際のしきい値はその間の 1 点、ヒステリシス 200mV typ。旧設計値 100.2℃ / 68.9℃ は遮断点と復帰点ではなく個体ばらつきの両端だった</t>
        </is>
      </c>
    </row>
    <row r="20" ht="55.5" customHeight="1" s="51">
      <c r="A20" s="102" t="inlineStr">
        <is>
          <t>v2.1.1 実測</t>
        </is>
      </c>
      <c r="B20" s="102" t="inlineStr">
        <is>
          <t>EN 分圧の構成確認</t>
        </is>
      </c>
      <c r="C20" s="102" t="inlineStr">
        <is>
          <t>ネットリストを確認し、R_top = R9 10kΩ + R5、R_b = R6 100kΩ ∥ TH1 と確定。R2 / R3 / R4 は UVLO・OVP 専用で EN とは独立</t>
        </is>
      </c>
      <c r="D20" s="102" t="inlineStr">
        <is>
          <t>4-6 の 3.225V は分圧比ではなく D8 のクランプによるもの（分圧だけなら 29.4V・20℃ で 9.1V になる）。9_ENしきい値選別 の R_top = 13kΩ は R5 = 3.0kΩ を前提とした正しい値であることを確認</t>
        </is>
      </c>
    </row>
    <row r="21" ht="60" customHeight="1" s="51">
      <c r="A21" s="110" t="inlineStr">
        <is>
          <t>v2.1.1 実測</t>
        </is>
      </c>
      <c r="B21" s="110" t="inlineStr">
        <is>
          <t>2-2 / 2-3 / 2-5</t>
        </is>
      </c>
      <c r="C21" s="110" t="inlineStr">
        <is>
          <t>2026-10-08 の測定は電源の電流制限（約0.3A）不足により無効。電流制限 3A 以上で再測定</t>
        </is>
      </c>
      <c r="D21" s="110" t="inlineStr">
        <is>
          <t>立ち上がり約200ms・階段状・TIMER の 35ms 周期リセットはすべて UVLO リトライによるもの。階段の終端 18.0〜18.4V が UVLO 立ち下がり実測 17.95V と一致することで確定。ゲート終値 40.6V（Vgs 11.8V）は正常</t>
        </is>
      </c>
    </row>
    <row r="22" ht="60" customHeight="1" s="51">
      <c r="A22" s="110" t="inlineStr">
        <is>
          <t>v2.1.1 実測</t>
        </is>
      </c>
      <c r="B22" s="110" t="inlineStr">
        <is>
          <t>2-2 / 2-3 / 2-4 / 2-5</t>
        </is>
      </c>
      <c r="C22" s="110" t="inlineStr">
        <is>
          <t>電流制限 4A で再測定し合格。ゲート終値 40.1V（Vgs 11.8V）、Vout 立ち上がり 74ms、突入 1.39A、TIMER ピーク 0.70V</t>
        </is>
      </c>
      <c r="D22" s="110" t="inlineStr">
        <is>
          <t>ゲート電流は規格下限側の約17〜19µA（typ 24µA）で、立ち上がりは遅い側コーナー。許容 40〜83ms 内。TIMER 容量は 1本目の傾き 14.4mV/ms と 6µA から 0.42µF と求まり、C6＋C16 = 0.48µF の実装を確認</t>
        </is>
      </c>
    </row>
    <row r="23" ht="70" customHeight="1" s="51">
      <c r="A23" s="110" t="inlineStr">
        <is>
          <t>v2.1.1 事故</t>
        </is>
      </c>
      <c r="B23" s="110" t="inlineStr">
        <is>
          <t>Q3 破壊</t>
        </is>
      </c>
      <c r="C23" s="110" t="inlineStr">
        <is>
          <t>2026-10-08、試験中に通電状態の MDDS30 で VB+ − VB− を短絡。Q3 がドレイン−ソース間短絡で破壊され、Vout が常時通電になった</t>
        </is>
      </c>
      <c r="D23" s="110" t="inlineStr">
        <is>
          <t>LM5060 は健全（LED1 がスイッチと連動）。VDS 保護は TIMER が 2.0V に達するまで遮断しないため 74〜106ms の短絡電流が流れる。①の残り（3-3 / 3-4 / 3-5、6-6 / 6-7）は予備基板で実施する。EN しきい値は個体差があるため 4-2 / 4-4 は測り直し（ばらつきの 2 点目として有用）</t>
        </is>
      </c>
    </row>
    <row r="24">
      <c r="A24" s="110" t="inlineStr">
        <is>
          <t>v2.2.1</t>
        </is>
      </c>
      <c r="B24" s="110" t="inlineStr">
        <is>
          <t>R51 / D12</t>
        </is>
      </c>
      <c r="C24" s="110" t="inlineStr">
        <is>
          <t>R51 100Ω をゲート直列に、D12 SMAJ15A をゲート−ソース間に追加（LCSC C22775 / C19077535）</t>
        </is>
      </c>
      <c r="D24" s="110" t="inlineStr">
        <is>
          <t>2026-10-08 の Q3 破壊対策。C9 ∥ C15（44nF）が GND 基準のため Vout 急落時に Vgs が 41V に達していた。v3.0.0 と同一トポロジ</t>
        </is>
      </c>
    </row>
    <row r="25">
      <c r="A25" s="110" t="inlineStr">
        <is>
          <t>v2.2.1</t>
        </is>
      </c>
      <c r="B25" s="110" t="inlineStr">
        <is>
          <t>TP5</t>
        </is>
      </c>
      <c r="C25" s="110" t="inlineStr">
        <is>
          <t>R51 の Q3 側へ移動（1.04mm）</t>
        </is>
      </c>
      <c r="D25" s="110" t="inlineStr">
        <is>
          <t>TP5 が真の Q3 ゲート電位になり、10-3 / 10-5 の Vgs 測定が成立する</t>
        </is>
      </c>
    </row>
    <row r="26">
      <c r="A26" s="110" t="inlineStr">
        <is>
          <t>v2.2.1</t>
        </is>
      </c>
      <c r="B26" s="110" t="inlineStr">
        <is>
          <t>Q1 / Q2 / Q3</t>
        </is>
      </c>
      <c r="C26" s="110" t="inlineStr">
        <is>
          <t>CSD18540Q5B（C86513）を据え置き</t>
        </is>
      </c>
      <c r="D26" s="110" t="inlineStr">
        <is>
          <t>v2.2.1 はファームウェア #13 を持てずSOA に依存するため。BSC028N06NS は Tc 60℃ で許容 2.1A となり 4A の短絡に耐えない</t>
        </is>
      </c>
    </row>
    <row r="27">
      <c r="A27" s="110" t="inlineStr">
        <is>
          <t>v2.2.1</t>
        </is>
      </c>
      <c r="B27" s="110" t="inlineStr">
        <is>
          <t>試験仕様書</t>
        </is>
      </c>
      <c r="C27" s="110" t="inlineStr">
        <is>
          <t>0-12 / 0-13 と 10_Q3ゲート保護（10-1〜10-6）を追加</t>
        </is>
      </c>
      <c r="D27" s="110" t="inlineStr">
        <is>
          <t>R51 / D12 の検証。Ciss 関連の数値は CSD18540Q5B 据え置きのため v2.1.1 から変更なし</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2026-10-05T05:10:17Z</dcterms:created>
  <dcterms:modified xmlns:dcterms="http://purl.org/dc/terms/" xmlns:xsi="http://www.w3.org/2001/XMLSchema-instance" xsi:type="dcterms:W3CDTF">2026-10-21T06:26:28Z</dcterms:modified>
  <cp:revision>0</cp:revision>
</cp:coreProperties>
</file>