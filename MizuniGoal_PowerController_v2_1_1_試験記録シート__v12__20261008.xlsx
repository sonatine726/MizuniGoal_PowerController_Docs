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Work\HatakeHottoke\MizuniGoal\PowerController\Documents\"/>
    </mc:Choice>
  </mc:AlternateContent>
  <xr:revisionPtr revIDLastSave="0" documentId="13_ncr:1_{69582A24-1F4D-457B-8DAA-2872DCDBE220}" xr6:coauthVersionLast="47" xr6:coauthVersionMax="47" xr10:uidLastSave="{00000000-0000-0000-0000-000000000000}"/>
  <bookViews>
    <workbookView xWindow="57480" yWindow="3060" windowWidth="19440" windowHeight="10320" tabRatio="500" firstSheet="3" activeTab="3" xr2:uid="{00000000-000D-0000-FFFF-FFFF00000000}"/>
  </bookViews>
  <sheets>
    <sheet name="表紙・凡例" sheetId="1" r:id="rId1"/>
    <sheet name="0_通電前確認" sheetId="2" r:id="rId2"/>
    <sheet name="1_低電圧基本動作" sheetId="3" r:id="rId3"/>
    <sheet name="2_起動波形" sheetId="4" r:id="rId4"/>
    <sheet name="3_熱特性" sheetId="5" r:id="rId5"/>
    <sheet name="4_保護機能" sheetId="6" r:id="rId6"/>
    <sheet name="5_ブレーキチョッパ" sheetId="7" r:id="rId7"/>
    <sheet name="6_走行時総合" sheetId="8" r:id="rId8"/>
    <sheet name="7_GND分離" sheetId="9" r:id="rId9"/>
    <sheet name="8_外部スイッチ・LED" sheetId="10" r:id="rId10"/>
    <sheet name="9_ENしきい値選別" sheetId="11" r:id="rId11"/>
    <sheet name="サマリ" sheetId="12" r:id="rId12"/>
    <sheet name="変更履歴"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 i="12" l="1"/>
  <c r="B29" i="12"/>
  <c r="B28" i="12"/>
  <c r="B27" i="12"/>
  <c r="B26" i="12"/>
  <c r="B25" i="12"/>
  <c r="B23" i="12"/>
  <c r="B22" i="12"/>
  <c r="C18" i="12"/>
  <c r="D18" i="12" s="1"/>
  <c r="C17" i="12"/>
  <c r="D17" i="12" s="1"/>
  <c r="C16" i="12"/>
  <c r="D16" i="12" s="1"/>
  <c r="C15" i="12"/>
  <c r="D15" i="12" s="1"/>
  <c r="C14" i="12"/>
  <c r="D14" i="12" s="1"/>
  <c r="C12" i="12"/>
  <c r="C11" i="12"/>
  <c r="D11" i="12" s="1"/>
  <c r="C10" i="12"/>
  <c r="D10" i="12" s="1"/>
  <c r="C9" i="12"/>
  <c r="D9" i="12" s="1"/>
  <c r="C8" i="12"/>
  <c r="D8" i="12" s="1"/>
  <c r="C7" i="12"/>
  <c r="D7" i="12" s="1"/>
  <c r="D6" i="12"/>
  <c r="C6" i="12"/>
  <c r="C5" i="12"/>
  <c r="D5" i="12" s="1"/>
  <c r="E59" i="11"/>
  <c r="E58" i="11"/>
  <c r="C19" i="11"/>
  <c r="C20" i="11" s="1"/>
  <c r="C21" i="11" s="1"/>
  <c r="B19" i="11"/>
  <c r="B20" i="11" s="1"/>
  <c r="B21" i="11" s="1"/>
  <c r="H17" i="11"/>
  <c r="G7" i="11"/>
  <c r="C13" i="12" s="1"/>
  <c r="D13" i="12" s="1"/>
  <c r="C17" i="6"/>
  <c r="C19" i="5"/>
  <c r="C18" i="5"/>
  <c r="B24" i="12" s="1"/>
  <c r="B31" i="12" l="1"/>
  <c r="B23" i="11"/>
  <c r="B22" i="11"/>
  <c r="C22" i="11"/>
  <c r="C23" i="11"/>
</calcChain>
</file>

<file path=xl/sharedStrings.xml><?xml version="1.0" encoding="utf-8"?>
<sst xmlns="http://schemas.openxmlformats.org/spreadsheetml/2006/main" count="1128" uniqueCount="789">
  <si>
    <t>MizuniGoal Power Controller v2.1.1　試験記録シート</t>
  </si>
  <si>
    <t>7S4P LiPo 2並列ホットスワップ電源基板／試作検証用</t>
  </si>
  <si>
    <t>基板情報</t>
  </si>
  <si>
    <t>基板 No.</t>
  </si>
  <si>
    <t>2 号機（1 号機は 2026-10-08 に Q3 破壊のため使用中止）</t>
  </si>
  <si>
    <t>実装日</t>
  </si>
  <si>
    <t>実装方法</t>
  </si>
  <si>
    <t>PCBA / 手実装</t>
  </si>
  <si>
    <t>銅厚</t>
  </si>
  <si>
    <t>1oz</t>
  </si>
  <si>
    <t>表面仕上げ</t>
  </si>
  <si>
    <t>ENIG</t>
  </si>
  <si>
    <t>試験実施者</t>
  </si>
  <si>
    <t>試験実施日</t>
  </si>
  <si>
    <t>凡例</t>
  </si>
  <si>
    <t>黄色セル</t>
  </si>
  <si>
    <t>記入欄。ここだけ入力してください</t>
  </si>
  <si>
    <t>灰色セル</t>
  </si>
  <si>
    <t>自動計算。数式が入っているので編集しないでください</t>
  </si>
  <si>
    <t>判定列</t>
  </si>
  <si>
    <t>OK / NG / 未実施 をドロップダウンから選択</t>
  </si>
  <si>
    <t>安全上の注意</t>
  </si>
  <si>
    <t>・7S LiPo は短絡時に数百 A を供給します。フェーズ2 までは可変電源（電流制限付き）で確認し、パック接続はフェーズ3 以降にしてください。</t>
  </si>
  <si>
    <t>・フェーズ3 の 25A ストール試験では消火器を手元に置き、目を離さないこと。初回は 15A 程度から段階的に上げてください。</t>
  </si>
  <si>
    <t>・v2.1.1 ではチョッパが fail-off 構成（Q5 による PNP 反転段）になったため、v2.0.0 で行っていた「R10 を外してチョッパを無効化する」手順は不要です。</t>
  </si>
  <si>
    <t>・R11 は 27Ω から 200Ω（TPAN0263F200RK9）に変更され、チョッパ動作時の消費は 38.4W から 5.2W になりました。</t>
  </si>
  <si>
    <t>・R11 の実効熱抵抗は 18℃/W 前後（v2.1.1 実測）。200Ω の連続導通では周囲 65℃ で平衡 158℃ となり、最高使用温度 150℃ を超えます。試験時は 120℃ を上限に中止してください。</t>
  </si>
  <si>
    <t>・フェーズ8 の LED 線短絡試験（8-7）は意図的な短絡です。必ず電流制限付き電源で実施してください。</t>
  </si>
  <si>
    <t>・フェーズ1 以降は、1-8 の待機電流測定を除き、非常停止ボタンを解除（スイッチ ON）した状態で実施してください。J4 の接点は NC で、押下中は EN 経路が開いて Vout が出ません。</t>
  </si>
  <si>
    <t>・【2026-10-08 追加】出力（Vout − GND）を短絡させないこと。1 号機はこれで Q3 のゲート酸化膜が破壊されました。電源の電流制限（4A）は無関係で、上流コンデンサの電荷が原因です。MDDS30 の端子付近でプローブを扱う作業は、必ず電源を落としてから行ってください。</t>
  </si>
  <si>
    <t>必要機材</t>
  </si>
  <si>
    <t>機材</t>
  </si>
  <si>
    <t>用途</t>
  </si>
  <si>
    <t>必須度</t>
  </si>
  <si>
    <t>オシロスコープ（2ch 以上）</t>
  </si>
  <si>
    <t>起動波形、チョッパ動作、回生プロファイル、リプル観測</t>
  </si>
  <si>
    <t>必須</t>
  </si>
  <si>
    <t>プローブ 2 本＋グランドスプリング</t>
  </si>
  <si>
    <t>TP 隣接の GND を活かすため</t>
  </si>
  <si>
    <t>デジタルマルチメータ</t>
  </si>
  <si>
    <t>電圧・抵抗の静的確認</t>
  </si>
  <si>
    <t>2ch 熱電対温度計（K型・細線プローブ2本）</t>
  </si>
  <si>
    <t>Q1 と TH1 の温度差</t>
  </si>
  <si>
    <t>サーマルカメラ</t>
  </si>
  <si>
    <t>R11 のフランジ温度、基板上の熱の広がり</t>
  </si>
  <si>
    <t>LCR メータ（100Hz 測定が可能なもの）</t>
  </si>
  <si>
    <t>MDDS30 の入力容量測定。1kHz では大容量電解を測れません</t>
  </si>
  <si>
    <t>可変電源（0〜35V、3A 程度、電流制限付き）</t>
  </si>
  <si>
    <t>低電圧での段階確認、短絡試験</t>
  </si>
  <si>
    <t>クランプメータ（30A 以上）</t>
  </si>
  <si>
    <t>ストール電流の実測</t>
  </si>
  <si>
    <t>ヒートガン／ドライヤー</t>
  </si>
  <si>
    <t>TH1 の加熱試験</t>
  </si>
  <si>
    <t>温度計</t>
  </si>
  <si>
    <t>筐体内周囲温度の実測</t>
  </si>
  <si>
    <t>ルーペ（8〜10倍、LED付）</t>
  </si>
  <si>
    <t>実装状態の確認</t>
  </si>
  <si>
    <t>電子負荷または抵抗負荷</t>
  </si>
  <si>
    <t>段階的な負荷試験</t>
  </si>
  <si>
    <t>あれば有用</t>
  </si>
  <si>
    <t>0_通電前確認</t>
  </si>
  <si>
    <t>通電前に必ず実施。ここで異常があれば通電しないこと。0-7 〜 0-11 は v2.1.1 で追加した項目です。</t>
  </si>
  <si>
    <t>No.</t>
  </si>
  <si>
    <t>項目</t>
  </si>
  <si>
    <t>手順・条件</t>
  </si>
  <si>
    <t>測定点</t>
  </si>
  <si>
    <t>設計値・判定基準</t>
  </si>
  <si>
    <t>単位</t>
  </si>
  <si>
    <t>実測値</t>
  </si>
  <si>
    <t>判定</t>
  </si>
  <si>
    <t>備考</t>
  </si>
  <si>
    <t>0-1</t>
  </si>
  <si>
    <t>目視確認</t>
  </si>
  <si>
    <t>ルーペで全部品を確認</t>
  </si>
  <si>
    <t>基板全体</t>
  </si>
  <si>
    <t>ブリッジ・未はんだ・欠品・向き違いが無いこと</t>
  </si>
  <si>
    <t>—</t>
  </si>
  <si>
    <t>0-2</t>
  </si>
  <si>
    <t>短絡確認</t>
  </si>
  <si>
    <t>DMM の抵抗レンジ</t>
  </si>
  <si>
    <t>J1 の +/− 間</t>
  </si>
  <si>
    <t>数百Ω以上。C5 / C7 の充電で表示が上昇し続けること（数Ωで止まる場合は短絡）</t>
  </si>
  <si>
    <t>Ω</t>
  </si>
  <si>
    <t>0-3</t>
  </si>
  <si>
    <t>同上</t>
  </si>
  <si>
    <t>J2 の +/− 間</t>
  </si>
  <si>
    <t>0-4</t>
  </si>
  <si>
    <t>J3 の +/− 間</t>
  </si>
  <si>
    <t>0-5</t>
  </si>
  <si>
    <t>導通確認</t>
  </si>
  <si>
    <t>DMM のダイオードレンジ</t>
  </si>
  <si>
    <t>TP10→TP4</t>
  </si>
  <si>
    <t>Q3 ボディダイオード方向で導通（約 0.5V）</t>
  </si>
  <si>
    <t>V</t>
  </si>
  <si>
    <t>0-6</t>
  </si>
  <si>
    <t>ビア確認</t>
  </si>
  <si>
    <t>基板を透かして裏面を確認</t>
  </si>
  <si>
    <t>Q1/Q2/Q3 裏面</t>
  </si>
  <si>
    <t>はんだの染み出しが無いこと（テンティング成立）</t>
  </si>
  <si>
    <t>0-7</t>
  </si>
  <si>
    <t>VREF バイアス経路</t>
  </si>
  <si>
    <t>DMM の抵抗レンジ（無通電）</t>
  </si>
  <si>
    <t>TP8 − TP11</t>
  </si>
  <si>
    <t>6.8kΩ 前後（R20 が 12V レールと VREF の間にあること）。C13 / C17 の充電で表示が安定するまで数秒かかるので、安定後の値を読む</t>
  </si>
  <si>
    <t>kΩ</t>
  </si>
  <si>
    <t>0-8</t>
  </si>
  <si>
    <t>分圧ノードの分離</t>
  </si>
  <si>
    <t>TP15 − TP11</t>
  </si>
  <si>
    <t>OL、または表示が上昇し続けること。6.8kΩ 前後で安定したら R20 の接続先が誤っている</t>
  </si>
  <si>
    <t>0-9</t>
  </si>
  <si>
    <t>F3 の導通</t>
  </si>
  <si>
    <t>J3 の + 端子 − J4 pin1</t>
  </si>
  <si>
    <t>1.6〜15Ω（PPTC の正常時抵抗）。C7 / C11 の充電の影響を受けるので、安定後の値を読む</t>
  </si>
  <si>
    <t>0-10</t>
  </si>
  <si>
    <t>J4 のピン配置</t>
  </si>
  <si>
    <t>基板とコネクタを目視・導通確認</t>
  </si>
  <si>
    <t>J4</t>
  </si>
  <si>
    <t>pin1 Vout_after_PPTC / pin2 GND / pin3 EN_1 側 / pin4 EN_2 側</t>
  </si>
  <si>
    <t>0-11</t>
  </si>
  <si>
    <t>Q4 ゲートプルダウン</t>
  </si>
  <si>
    <t>TP9 − TP12</t>
  </si>
  <si>
    <t>100kΩ 前後（R13 が実装されていること）</t>
  </si>
  <si>
    <t>※ 0-7 / 0-8 は v2.0.0 で R20 の接続先を誤っていた箇所です。R20 の上端が 12V レールではなく分圧ノードに繋がっていたため、TL431 にバイアス電流が流れず VREF が立ちませんでした。通電前にこの 2 項目を確認すれば、同種の誤りを検出できます。</t>
  </si>
  <si>
    <t>※ 0-11 は fail-off 構成の要です。R13 が未実装だと Q4 のゲートが浮き、意図しない導通が起こり得ます。</t>
  </si>
  <si>
    <t>※ 抵抗レンジでの測定は、どの項目も「表示が安定してから読む」か「上昇し続けることを確認する」のどちらかです。0-2〜0-4 は上昇し続けることが正常、0-7 / 0-9 は安定後の値が判定対象、0-8 は上昇し続けるか OL が正常です。</t>
  </si>
  <si>
    <t>※ 測定前に C5 / C7 を放電させてください。前の測定で充電が残っていると高い値が表示され、短絡を見逃します。</t>
  </si>
  <si>
    <t>1_低電圧基本動作</t>
  </si>
  <si>
    <t>可変電源を電流制限 0.5A に設定し、J1 に接続して実施。パックはまだ接続しない。1-8 を除き、非常停止ボタンは解除（スイッチ ON）の状態で行うこと。</t>
  </si>
  <si>
    <t>1-1</t>
  </si>
  <si>
    <t>UVLO 遮断→復帰</t>
  </si>
  <si>
    <t>電源電圧を 0V から徐々に上げる（非常停止は解除状態）</t>
  </si>
  <si>
    <t>TP10 / TP19</t>
  </si>
  <si>
    <t>19.5V 付近で Q3 が ON</t>
  </si>
  <si>
    <t>1-2</t>
  </si>
  <si>
    <t>UVLO ヒステリシス</t>
  </si>
  <si>
    <t>電圧を徐々に下げる（同上）</t>
  </si>
  <si>
    <t>17.4V 付近で OFF</t>
  </si>
  <si>
    <t>1-3</t>
  </si>
  <si>
    <t>OVP 遮断</t>
  </si>
  <si>
    <t>電圧を 35V まで上げる（同上）</t>
  </si>
  <si>
    <t>34.0V 付近で OFF</t>
  </si>
  <si>
    <t>1-4</t>
  </si>
  <si>
    <t>OVP 復帰</t>
  </si>
  <si>
    <t>電圧を下げる（同上）</t>
  </si>
  <si>
    <t>30.1V 付近で復帰</t>
  </si>
  <si>
    <t>1-5</t>
  </si>
  <si>
    <t>非常停止スイッチ</t>
  </si>
  <si>
    <t>ボタンを押す／ひねって解除</t>
  </si>
  <si>
    <t>押すと OFF、解除で ON（NC 接点）</t>
  </si>
  <si>
    <t>1-6</t>
  </si>
  <si>
    <t>EN 電圧</t>
  </si>
  <si>
    <t>25℃、バス 29.4V（非常停止は解除状態）</t>
  </si>
  <si>
    <t>TP7 / TP2</t>
  </si>
  <si>
    <t>3.9V（D8 でクランプ）</t>
  </si>
  <si>
    <t>1-7</t>
  </si>
  <si>
    <t>LED1 点灯</t>
  </si>
  <si>
    <t>Q3 が ON の状態（同上）</t>
  </si>
  <si>
    <t>LED1（基板上）</t>
  </si>
  <si>
    <t>点灯すること（NPGD が Low）</t>
  </si>
  <si>
    <t>1-8</t>
  </si>
  <si>
    <t>待機電流</t>
  </si>
  <si>
    <t>非常停止ボタンを押した状態、バス 29.4V</t>
  </si>
  <si>
    <t>電源の電流表示</t>
  </si>
  <si>
    <t>約 60µA</t>
  </si>
  <si>
    <t>µA</t>
  </si>
  <si>
    <t>※ 1-1〜1-4 が設計値と大きくずれる場合、R2 / R3 / R4 の実装と値を確認してください。</t>
  </si>
  <si>
    <t>※ 1-8：外部 LED は Vout から駆動されるため、遮断時は消灯し待機電流に加算されません。</t>
  </si>
  <si>
    <t>※ J4 の接点は NC（ノーマルクローズ）です。非常停止ボタンが押された状態では EN 経路が開いており、Vout は出ません。1-1〜1-7 は必ずボタンを解除してから実施してください。</t>
  </si>
  <si>
    <t>※ J4 にスイッチを接続せずに試験する場合は、pin3 − pin4 間を短絡して接点 ON を模擬してください。開放のままでは Vout が立ち上がりません。</t>
  </si>
  <si>
    <t>2_起動波形</t>
  </si>
  <si>
    <t>MDDS30 を接続して実施。入力容量は実測済み（3580µF / 100Hz）で、C15 と C16 は実装済み。★電源の電流制限は 3A 以上に設定すること（突入 2A）。不足すると UVLO リトライで階段状の波形になり、測定が無効になる。</t>
  </si>
  <si>
    <t>2-1</t>
  </si>
  <si>
    <t>MDDS30 入力容量</t>
  </si>
  <si>
    <t>電源を切った状態で VB+/VB− 間を 100Hz で測定</t>
  </si>
  <si>
    <t>MDDS30</t>
  </si>
  <si>
    <t>参考値。v2.0.0 実測では 3580µF</t>
  </si>
  <si>
    <t>µF</t>
  </si>
  <si>
    <t>2-2</t>
  </si>
  <si>
    <t>スイッチ ON、Ch1=TP5(GND:TP18)。10×プローブ、レンジは VBUS＋15V 以上</t>
  </si>
  <si>
    <t>TP5 / TP18</t>
  </si>
  <si>
    <t>終値 VBUS＋12V（10〜14V）。立ち上がりは 0.545V/ms。VBUS 19.5/24.0/29.4V で 35.8/44.0/53.9ms</t>
  </si>
  <si>
    <t>ms</t>
  </si>
  <si>
    <t>OK</t>
  </si>
  <si>
    <t>2026-10-08 再測定（電流制限 4A）: 終値 40.1V、Vout 28.3V → Vgs 11.8V（規格 10〜14V）。単調・階段なし。10-90% 75.4ms</t>
  </si>
  <si>
    <t>2-3</t>
  </si>
  <si>
    <t>同時観測、Ch2=TP10(GND:TP19)</t>
  </si>
  <si>
    <t>VBUS÷0.545V/ms。19.5V:35.8ms / 24.0V:44.0ms / 29.4V:53.9ms。ゲート電流の幅で ±40%</t>
  </si>
  <si>
    <t>2026-10-08 再測定: 終値 28.3V、ランプ 74ms（10-90% 61.3ms）、単調。傾き 382V/s → ゲート電流は規格下限側の約17〜19µA（typ 24µA）。許容 40〜83ms 内</t>
  </si>
  <si>
    <t>2-4</t>
  </si>
  <si>
    <t>突入電流</t>
  </si>
  <si>
    <t>①2-3 の傾きから算出（推奨）②低電位側シャント ③電源の電流制限でブラケット。下の表を参照</t>
  </si>
  <si>
    <t>入力配線</t>
  </si>
  <si>
    <t>1.98A（1.4〜2.6A）。VBUS に依存しない</t>
  </si>
  <si>
    <t>A</t>
  </si>
  <si>
    <t>2026-10-08: 2-3 の傾き 382V/s から 3628µF × 382 = 1.39A（主測定）。2-2 のゲート傾き 354V/s からは 1.29A で 7% 一致（クロスチェック）。基準 2.4A 以下</t>
  </si>
  <si>
    <t>2-5</t>
  </si>
  <si>
    <t>TIMER 波形</t>
  </si>
  <si>
    <t>起動時の TIMER ピン電圧</t>
  </si>
  <si>
    <t>TP6 / TP2</t>
  </si>
  <si>
    <t>2V に達する前に起動完了すること</t>
  </si>
  <si>
    <t>2026-10-08 長時間軸で確認: 1本目 ピーク0.70V(14.0mV/ms) → +24ms に 0.35V へリセット → 2本目 ピーク0.76V(15.0mV/ms) → +53ms に 0.00V へ放電し +99ms まで平坦。ラッチ 2.0V に対し余裕 2.6 倍</t>
  </si>
  <si>
    <t>C15 / C16 の実装判断（実測済み・記録用）</t>
  </si>
  <si>
    <t>C15</t>
  </si>
  <si>
    <t>C16</t>
  </si>
  <si>
    <t>立ち上がり</t>
  </si>
  <si>
    <t>TIMER 許容</t>
  </si>
  <si>
    <t>2200µF 以下</t>
  </si>
  <si>
    <t>未実装</t>
  </si>
  <si>
    <t>27.0ms</t>
  </si>
  <si>
    <t>60ms</t>
  </si>
  <si>
    <t>3580µF（実測・採用）</t>
  </si>
  <si>
    <t>22nF 実装</t>
  </si>
  <si>
    <t>0.15µF 実装</t>
  </si>
  <si>
    <t>53.9ms</t>
  </si>
  <si>
    <t>87ms</t>
  </si>
  <si>
    <t>2.0A</t>
  </si>
  <si>
    <t>※ 2-3 で起動に失敗する場合、TIMER 満了が疑われます。C6 + C16 = 0.48µF の実装を確認してください。</t>
  </si>
  <si>
    <t>※ 立ち上がり時間はゲート容量とゲート電流だけで決まり、負荷容量には依存しません。負荷容量が効くのは突入電流です。</t>
  </si>
  <si>
    <t>2-4 突入電流の測定方法（クランプメータを使わない場合）</t>
  </si>
  <si>
    <t>方法</t>
  </si>
  <si>
    <t>手順</t>
  </si>
  <si>
    <t>算出・判定</t>
  </si>
  <si>
    <t>長所</t>
  </si>
  <si>
    <t>短所</t>
  </si>
  <si>
    <t>① 傾きから算出
（推奨）</t>
  </si>
  <si>
    <t>2-3 の Vout 波形から立ち上がり時間を読む</t>
  </si>
  <si>
    <t>I = 3628µF × VBUS ÷ t_rise
→ 1.98A（許容 1.4〜2.6A）</t>
  </si>
  <si>
    <t>追加部品なし。2-3 と同時に完了する</t>
  </si>
  <si>
    <t>MDDS30 自身の消費電流（数十mA）は含まれない</t>
  </si>
  <si>
    <t>② 低電位側シャント</t>
  </si>
  <si>
    <t>MDDS30 の VB− と基板 GND の間に 0.22Ω/2W を挿入。オシロ GND は基板 GND、先端をシャントの MDDS30 側へ。1× プローブ、100mV/div</t>
  </si>
  <si>
    <t>2A で 440mV。I = V_Rs ÷ 0.22</t>
  </si>
  <si>
    <t>オシロの GND が基板 GND のままなので TP5 / TP10 と同時観測できる</t>
  </si>
  <si>
    <t>モータを外して実施し、試験後は必ず撤去すること（走行電流で焼損）。MDDS30 の制御系 GND が別経路で基板 GND に繋がっているとシャントが短絡される</t>
  </si>
  <si>
    <t>③ 電源の電流制限</t>
  </si>
  <si>
    <t>電流制限を 2.5A に設定して起動。CC に入らなければ 2.5A 未満。上下から挟み込む</t>
  </si>
  <si>
    <t>CC に入った制限値がピークの上限</t>
  </si>
  <si>
    <t>部品不要</t>
  </si>
  <si>
    <t>電源の出力コンデンサが突入の一部を供給するため、実際より小さく出る。裏取り用</t>
  </si>
  <si>
    <t>※ 突入電流はゲートのスルーレートで決まるため VBUS に依存しません。I = C_total × dV/dt = 3628µF × 0.545V/ms = 1.98A。VBUS が高いほど時間が延びるだけです。C_total = MDDS30 3580µF ＋ C7 47µF ＋ C11 1µF。</t>
  </si>
  <si>
    <t>※ シャントを足しても突入電流は変わりません。電流を決めているのはゲートのスルーレートであってループ抵抗ではないためです。50ms の事象なので無誘導型である必要もありません。</t>
  </si>
  <si>
    <t>※ 正常な波形はほぼ矩形です。約 2A が t_rise の間続き、Vout が VBUS に達した瞬間に MDDS30 の待機電流まで落ちます。先頭に鋭いスパイクが出た場合は C9 / C15（ゲートのスルーレート用 44nF、GATE−GND 間）の未実装またははんだ不良を疑ってください。</t>
  </si>
  <si>
    <t>※ TP5 は GND 基準で VBUS より上に出ます。プローブは 10×、レンジは VBUS＋15V 以上を確保してください。</t>
  </si>
  <si>
    <t>※ ゲート波形は 3 段階になります。(1) 0→約3V で Q3 がオン開始 (2) ミラー期間：Vgs が 3〜4V で平らなまま、GND 基準の TP5 は Vout と一緒に上昇（ここが t_rise）(3) Vout が VBUS に達した後、さらに 12V 分だけ上がって VBUS＋12V で停止（約22ms）。データシートの GATE−OUT 16.8V はツェナークランプの保護値で、正常動作では到達しません。</t>
  </si>
  <si>
    <t>※ 2-3 の「TIMER 許容 87ms」は要確認です。C6＋C16 = 0.48µF を 6µA でラッチ電圧 2.0V まで充電すると 160ms になります。2-5 で TP6 の傾きを実測して確定してください（6µA / 0.48µF なら 12.5mV/ms）。</t>
  </si>
  <si>
    <t>2026-10-08 の測定で判明した事項（再測定が必要）</t>
  </si>
  <si>
    <t>■ 症状：2-2 / 2-3 とも立ち上がりが約 200ms（設計 53.9ms）で、前半が高周波の振動を伴う階段状になった。2-5 の TIMER は約 35ms 周期でリセットを繰り返した。</t>
  </si>
  <si>
    <t>■ 原因：安定化電源の電流制限が約 0.3A。根拠は 4 点。(1) 後半の直線部ですでに Vgs ≒ 11.4V と Q3 は完全オンで、Vout は VBUS に追従しているだけ。(2) 直線部の傾き 73.5V/s から I = 3628µF × 73.5 = 0.27A。(3) 波形が指数ではなく直線（30ms ごとの増分 2.3/2.25/2.15/2.1V）＝定電流源の特徴。(4) 階段が終わる電圧 18.0〜18.4V が 1-2 の UVLO 立ち下がり実測 17.95V と一致。</t>
  </si>
  <si>
    <t>■ 機序：Q3 がオン → 電源が 0.3A で頭打ち → VBUS が Vout まで下がる → UVLO を割って LM5060 が遮断し TIMER もリセット → 負荷が切れて VBUS 復帰 → 再起動、の繰り返し。1 サイクルごとに負荷容量が充電され階段状に上昇。Vout が 18V を超えると VBUS が UVLO を割らなくなりハンチング終了、以降は電源の CC 0.27A による直線充電。</t>
  </si>
  <si>
    <t>■ 基板側の異常は見つかっていない。ゲート終値 40.6V（Vgs 11.8V、規格 10〜14V）は正常。極端に弱い電源に対して UVLO リトライを繰り返し、ラッチオフせず最終的に正常起動した点はむしろ保護動作の確認になっている。</t>
  </si>
  <si>
    <t>■ 対策：電源の電流制限を 3A 以上にして再測定する（29.4V × 2A = 59W が瞬間的に必要）。電源の定格が足りない場合は実バッテリパックで測定する。電流制限を上げても階段が残る場合は電源の CC→CV 復帰が遅い機種なので、パックで確認すること。</t>
  </si>
  <si>
    <t>■ LM5060 の TIMER 充電電流は 2 つある：I_TIMERL = 6µA（VGS &lt; 5V、起動中）／I_TIMERH = 11µA（VGS &gt; 5V、VDS 遷移・過電流判定）。本回路は C9＋C15 = 44nF が GATE−GND 間にあるため、Vout が立ち上がり切るまで VGS は 3〜4V に留まり、起動中はずっと 6µA 側。ラッチまでの余裕は C = 0.48µF なら 160ms、0.33µF なら 110ms。いずれも 53.9ms に対し 2〜3 倍の余裕がある。</t>
  </si>
  <si>
    <t>■ TIMER 容量は未確定。実測の傾き 20.5mV/ms は (a) C = 0.48µF × 11µA（22.9mV/ms）とも (b) C = 0.33µF × 6µA（18.2mV/ms）とも取れる。今回は VGS が低い状態だったので (b)＝C16 が TIMER に載っていない可能性がある。再測定で正常起動の傾きを測り、C = 6µA ÷ 傾き で確定させること。</t>
  </si>
  <si>
    <t>■ 最悪条件の余裕：ゲート電流 17µA で Vout 立ち上がり 76ms、TIMER が C 0.30µF・7µA でラッチ 85ms となり、余裕は 12% しかない。v2.3 では TIMER 容量を 1µF 程度に増やすこと。</t>
  </si>
  <si>
    <t>2026-10-08 再測定（電源の電流制限 4A）の結果</t>
  </si>
  <si>
    <t>■ 前回の階段状波形とハンチングは完全に消失。電流制限が原因であったことが確定した。</t>
  </si>
  <si>
    <t>■ ゲート駆動は正常。終値 40.1V − Vout 28.3V = Vgs 11.8V で、VGATE 規格（VIN＋10〜14V、typ 12V）の中央。</t>
  </si>
  <si>
    <t>■ 立ち上がりは規格の遅い側コーナー。Vout の傾き 382V/s（設計 typ 545V/s）から逆算されるゲート電流は約 17〜19µA。Vout 飽和後のゲート単独上昇区間（336V/s）からも同値が出るので読み取り誤差ではなく個体特性。規格 17〜31µA 内なので不良ではない。許容範囲は VBUS 28.3V 換算で 40〜83ms（I_gate 17〜31µA、C 44〜50nF）。実測 74ms は範囲内。</t>
  </si>
  <si>
    <t>■ 突入電流は遅いぶん小さく 1.39A。上限規定（2.4A 以下）なので安全側。</t>
  </si>
  <si>
    <t>■ TIMER 容量が確定：1本目のランプの傾き 14.4mV/ms と起動時充電電流 6µA から C = 0.42µF。読み取り誤差を考えれば C6＋C16 = 0.48µF と一致するため、C16 は TIMER に正しく実装されている。ラッチまでの余裕は 2.0V × 0.48µF ÷ 6µA = 160ms で、立ち上がり 74ms に対し 2.2 倍。</t>
  </si>
  <si>
    <t>■ 未確認事項：TIMER の 2 本目のランプ（VDS 遷移判定、11µA）が画面右端 +50ms で 0.72V のまま上昇中で終わっている。Vout は +98ms まで安定しているため実際にはリセットされているはずだが、波形上は確認できていない。このまま上昇すると +135ms 付近で 2.0V に達する計算になるため要確認。</t>
  </si>
  <si>
    <t>■ 追加測定：時間軸 100ms/div（1秒窓）で TP6 を撮り、2 本目のランプが 0 付近に落ちて以降平坦であることを確認する。可能なら Ch1 = TP10（Vout）／Ch2 = TP6（TIMER）の 2ch 同時取得が望ましい（GND は共通で 1 本）。</t>
  </si>
  <si>
    <t>■ 試験手順の注意：TIMER の 1 本目は 48.5ms、Vout の立ち上がりは 74ms と差があった。別々の試行（7分間隔）で MDDS30 の入力容量 3628µF に前回の電荷が残っていたためと考えられる。ブリーダがないため放電に時間がかかる。試行の間に MDDS30 の VB+ / VB− を 1kΩ 程度で放電してから測定すること。</t>
  </si>
  <si>
    <t>試行間の放電手順（MDDS30 入力容量 3628µF）</t>
  </si>
  <si>
    <t>時定数</t>
  </si>
  <si>
    <t>0.5V 以下までの時間</t>
  </si>
  <si>
    <t>DMM（DCV）</t>
  </si>
  <si>
    <t>36,000 s</t>
  </si>
  <si>
    <t>不可</t>
  </si>
  <si>
    <t>入力 10MΩ。放電器具としては使えない。オシロのプローブも同じ。DMM は放電の「確認」に使う</t>
  </si>
  <si>
    <t>DMM（電流レンジ）</t>
  </si>
  <si>
    <t>禁止</t>
  </si>
  <si>
    <t>ほぼ短絡。1.45J が流れ込みヒューズが飛ぶ。ヒューズレスの 10A レンジでは内部損傷の恐れ</t>
  </si>
  <si>
    <t>1kΩ / 2W 放電棒</t>
  </si>
  <si>
    <t>3.6 s</t>
  </si>
  <si>
    <t>約 15 秒</t>
  </si>
  <si>
    <t>28mA / 0.8W。ワニ口付きリードに抵抗を 1 本</t>
  </si>
  <si>
    <t>100Ω / 5W 放電棒</t>
  </si>
  <si>
    <t>0.36 s</t>
  </si>
  <si>
    <t>約 1.5 秒</t>
  </si>
  <si>
    <t>283mA / 8.0W（瞬時）。全エネルギー 1.45J なのでセメント抵抗で余裕</t>
  </si>
  <si>
    <t>1kΩ / 3W 常設ブリーダ</t>
  </si>
  <si>
    <t>約 15 秒（自動）</t>
  </si>
  <si>
    <t>推奨。電源を切るだけで放電される。試験中 28mA / 0.8W は突入 1.39A に対し無視できる</t>
  </si>
  <si>
    <t>■ 手順：①電源 OFF ②J4 スイッチ OFF ③MDDS30 の VB+ / VB− に放電棒を 15 秒（100Ω なら 2 秒）当てる ④外して DMM の DCV で 0.5V 以下を確認 ⑤次の試行へ。</t>
  </si>
  <si>
    <t>■ 常設ブリーダを使う場合、0_通電前確認 の抵抗測定（0-2〜0-4、0-7）には影響するので、その試験の前には外すこと。</t>
  </si>
  <si>
    <t>■ 禁止：ドライバ等の金属で VB+ / VB− を短絡しないこと。28V は感電の危険がない電圧だが、1.45J は工具先端を溶着させるのに十分。</t>
  </si>
  <si>
    <t>■ 放電が必要な理由：TIMER の 1 本目のランプが 48.5ms、Vout の立ち上がりが 74ms と食い違った。TIMER の 2 回の取得（65 秒間隔）がいずれも残留電荷のある状態からの起動だったためと考えられる。MDDS30 側に 20kΩ 程度の内部ブリーダがあると仮定すると時定数 77 秒となり、毎回ほぼ同じ残留電圧になるので再現性も説明がつく。判定には影響しない。</t>
  </si>
  <si>
    <t>2-2 から 2-4 を算出したクロスチェック（2026-10-08）</t>
  </si>
  <si>
    <t>■ ミラー期間はゲートと Vout が一緒に上がるため、ゲートの傾き＝Vout の傾きとして突入電流を算出できる。ゲートの傾き 354V/s（t = −55〜+15ms、24.94V / 70.4ms）× 3628µF = 1.29A。2-3 から求めた 1.39A と 7% で一致。差は別トリガで撮った 2 枚の波形と帯の太さによる読み取り誤差の範囲。</t>
  </si>
  <si>
    <t>■ ただし 2-4 の主測定は 2-3（Vout の傾き）とすること。C9＋C15 = 44nF は GATE−GND 間なので、ゲートの傾きは dVgate/dt = I_gate ÷ (C9+C15) であり、Vout が実際に追従しているかとは無関係に一定になる。実際、Vout 飽和後の区間 355V/s とミラー期間 354V/s がほぼ同一で、ゲート波形だけでは両者の境目が判別しにくい。電流制限不足で Vout がゲートに追従できていない状態（2026-10-08 午前の測定）を、2-2 だけでは検出できない。</t>
  </si>
  <si>
    <t>■ 運用：2-3 を主測定、2-2 からの算出をクロスチェックとする。両者が一致すれば「ゲート駆動も負荷追従も正常」と二重に確認できる。</t>
  </si>
  <si>
    <t>3_熱特性</t>
  </si>
  <si>
    <t>熱電対は Q1 のパッケージ表面と、TH1 直近の銅島（部品本体ではない）に貼る。R11 はサーマルカメラで測る。</t>
  </si>
  <si>
    <t>3-1</t>
  </si>
  <si>
    <t>筐体内周囲温度</t>
  </si>
  <si>
    <t>実機を筐体に組み込み、走行後に測定</t>
  </si>
  <si>
    <t>筐体内</t>
  </si>
  <si>
    <t>記録のみ（R5 決定の根拠）</t>
  </si>
  <si>
    <t>℃</t>
  </si>
  <si>
    <t>3-2</t>
  </si>
  <si>
    <t>通常走行 Q1 温度</t>
  </si>
  <si>
    <t>8A 走行時、熱電対 Ch1</t>
  </si>
  <si>
    <t>Q1 パッケージ</t>
  </si>
  <si>
    <t>周囲＋16℃ 程度</t>
  </si>
  <si>
    <t>3-3</t>
  </si>
  <si>
    <t>通常走行 TH1 温度</t>
  </si>
  <si>
    <t>同時測定、熱電対 Ch2</t>
  </si>
  <si>
    <t>TH1 直近の銅島</t>
  </si>
  <si>
    <t>遮断点 100℃ に対し 25℃ 以上の余裕</t>
  </si>
  <si>
    <t>3-4</t>
  </si>
  <si>
    <t>ストール時 Q1 温度</t>
  </si>
  <si>
    <t>車輪を押さえて 25A、同時測定</t>
  </si>
  <si>
    <t>記録のみ</t>
  </si>
  <si>
    <t>3-5</t>
  </si>
  <si>
    <t>ストール時 TH1 温度</t>
  </si>
  <si>
    <t>3-6</t>
  </si>
  <si>
    <t>ストール電流</t>
  </si>
  <si>
    <t>同上、クランプメータ</t>
  </si>
  <si>
    <t>25A 前後</t>
  </si>
  <si>
    <t>3-7</t>
  </si>
  <si>
    <t>遮断までの時間</t>
  </si>
  <si>
    <t>3-4 を継続し、Q3 が OFF するまで</t>
  </si>
  <si>
    <t>秒</t>
  </si>
  <si>
    <t>3-8</t>
  </si>
  <si>
    <t>R11 フランジ温度</t>
  </si>
  <si>
    <t>チョッパ連続導通（32.2V で 5.2W）、サーマルカメラ。温度が止まるまで観測</t>
  </si>
  <si>
    <t>R11 フランジ</t>
  </si>
  <si>
    <t>周囲＋95℃ 以上（実効熱抵抗 18℃/W 前後・実測）。平衡するまで数分かかる。120℃ を超えたら中止</t>
  </si>
  <si>
    <t>3-9</t>
  </si>
  <si>
    <t>同時の TH1 温度</t>
  </si>
  <si>
    <t>ほぼ周囲温度のまま（v2.0.0 実測で確認済み。TH1 は R11 の過熱を検出しない）</t>
  </si>
  <si>
    <t>3-10</t>
  </si>
  <si>
    <t>C7 表面温度</t>
  </si>
  <si>
    <t>C7 表面</t>
  </si>
  <si>
    <t>電解の寿命確認。周囲＋数℃ に留まること</t>
  </si>
  <si>
    <t>温度オフセット（自動計算）</t>
  </si>
  <si>
    <t>計算式</t>
  </si>
  <si>
    <t>値</t>
  </si>
  <si>
    <t>設計想定</t>
  </si>
  <si>
    <t>Q1 − TH1（ストール時）</t>
  </si>
  <si>
    <t>3-4 − 3-5</t>
  </si>
  <si>
    <t>29℃（1oz）</t>
  </si>
  <si>
    <t>R11 − TH1（チョッパ動作時）</t>
  </si>
  <si>
    <t>3-8 − 3-9</t>
  </si>
  <si>
    <t>大きく開く（TH1 は R11 を検出しない）</t>
  </si>
  <si>
    <t>R5 の決定表</t>
  </si>
  <si>
    <t>実測結果</t>
  </si>
  <si>
    <t>R5</t>
  </si>
  <si>
    <t>遮断温度</t>
  </si>
  <si>
    <t>周囲 45℃ 以下、通常走行で余裕十分</t>
  </si>
  <si>
    <t>19.6kΩ</t>
  </si>
  <si>
    <t>約 90℃</t>
  </si>
  <si>
    <t>保護を強化</t>
  </si>
  <si>
    <t>周囲 50〜65℃、通常走行で余裕あり</t>
  </si>
  <si>
    <t>14.7kΩ（現状）</t>
  </si>
  <si>
    <t>約 100℃</t>
  </si>
  <si>
    <t>変更不要</t>
  </si>
  <si>
    <t>通常走行で TH1 が 75℃ 超</t>
  </si>
  <si>
    <t>11.3kΩ</t>
  </si>
  <si>
    <t>約 110℃</t>
  </si>
  <si>
    <t>放熱・筐体も見直し</t>
  </si>
  <si>
    <t>オフセットが 40℃ 超</t>
  </si>
  <si>
    <t>R5 を上げる</t>
  </si>
  <si>
    <t>遮断点を下げる</t>
  </si>
  <si>
    <t>TH1 を FET に近づける検討も</t>
  </si>
  <si>
    <t>※ v2.0.0 の実測では、R11 が 111.5℃ のとき基板中央は 34.1℃、周囲 29.9℃ でした。熱は R11 の周辺 15mm 程度に留まり、TH1 には届きません。既存のサーマル遮断は R11 の過熱をカバーしません。</t>
  </si>
  <si>
    <t>※ 実効熱抵抗は当初 5.8℃/W（v2.0.0・14.1W・飽和前の値）と見積もっていましたが、v2.1.1 の実測（32.5V / 5.28W で 120℃ に達しても平衡せず）から 18℃/W 前後と判明しました。自然対流は温度差に対して非線形で、低電力域ほど単位電力あたりの熱抵抗が悪化します。</t>
  </si>
  <si>
    <t>※ この熱抵抗では、R11 = 200Ω の連続導通時に周囲 65℃ で平衡 158℃ となり、最高使用温度 150℃ を超えます。「fail-on でも壊れない」という当初の設計目標は 200Ω では達成できていません。</t>
  </si>
  <si>
    <t>※ ただし正常動作でチョッパが連続導通することはなく、回生は 1〜2.5 秒で終わります。連続導通が起きるのは Q5 または Q4 の短絡故障時のみです。R11 の最終値は 6-6 / 6-7 の回生プロファイル実測で決めます。</t>
  </si>
  <si>
    <t>※ 3-8 はサーマルカメラの外殻温度です。フランジ温度はこれより高くなります。</t>
  </si>
  <si>
    <t>4_保護機能</t>
  </si>
  <si>
    <t>判定は温度ではなく EN 電圧で行う。遮断点の温度は個体の EN しきい値で決まるため、9_ENしきい値選別 で算出すること。</t>
  </si>
  <si>
    <t>4-1</t>
  </si>
  <si>
    <t>遮断の確認</t>
  </si>
  <si>
    <t>ヒートガンで TH1 を加熱</t>
  </si>
  <si>
    <t>Vout が落ちること</t>
  </si>
  <si>
    <t>4-2</t>
  </si>
  <si>
    <t>遮断時の EN 電圧</t>
  </si>
  <si>
    <t>落ちた瞬間の TP7 を記録</t>
  </si>
  <si>
    <t>1.15〜1.50V（R5 = 3.0kΩ 前提）</t>
  </si>
  <si>
    <t>4-3</t>
  </si>
  <si>
    <t>自動復帰の確認</t>
  </si>
  <si>
    <t>加熱をやめて冷却する</t>
  </si>
  <si>
    <t>Vout が戻ること</t>
  </si>
  <si>
    <t>4-4</t>
  </si>
  <si>
    <t>復帰時の EN 電圧</t>
  </si>
  <si>
    <t>戻った瞬間の TP7 を記録</t>
  </si>
  <si>
    <t>4-2 ＋ 150〜300mV</t>
  </si>
  <si>
    <t>4-5</t>
  </si>
  <si>
    <t>遮断時の TH1 温度（参考）</t>
  </si>
  <si>
    <t>サーマルカメラまたは熱電対</t>
  </si>
  <si>
    <t>TH1 本体</t>
  </si>
  <si>
    <t>参考記録のみ。判定には使わない</t>
  </si>
  <si>
    <t>4-6</t>
  </si>
  <si>
    <t>常時 ON 時の EN 電圧</t>
  </si>
  <si>
    <t>25℃、VBUS 29.4V</t>
  </si>
  <si>
    <t>3.2V 前後（D8 クランプ）</t>
  </si>
  <si>
    <t>4-7</t>
  </si>
  <si>
    <t>ホットスワップ</t>
  </si>
  <si>
    <t>J2 にパックを追加接続</t>
  </si>
  <si>
    <t>TP4 / TP17</t>
  </si>
  <si>
    <t>アークの程度、電圧降下を記録</t>
  </si>
  <si>
    <t>4-8</t>
  </si>
  <si>
    <t>逆流阻止</t>
  </si>
  <si>
    <t>一方のパックを外す</t>
  </si>
  <si>
    <t>他方から給電が継続すること</t>
  </si>
  <si>
    <t>4-9</t>
  </si>
  <si>
    <t>OCP（任意）</t>
  </si>
  <si>
    <t>意図的な過電流。危険なため慎重に</t>
  </si>
  <si>
    <t>ラッチオフし、非常停止の押下＋解除で復帰</t>
  </si>
  <si>
    <t>ヒステリシス（自動計算）</t>
  </si>
  <si>
    <t>期待値</t>
  </si>
  <si>
    <t>EN ヒステリシス</t>
  </si>
  <si>
    <t>4-4 − 4-2</t>
  </si>
  <si>
    <t>200mV 前後（ENHYS typ）</t>
  </si>
  <si>
    <t>※ v2.0.0 / v2.1.0 では「遮断 100.2℃ / 復帰 68.9℃」を判定基準としていましたが、前提ごと誤りでした。LM5060 の EN は比較器ではなくロジック入力で、データシートの 0.80V（ENTHL）と 2.00V（ENTHH）は「確実に Low / High と認識される保証値」です。実際のしきい値はその間の 1 点で、ヒステリシスは 200mV typ しかありません。</t>
  </si>
  <si>
    <t>※ つまり 100.2℃ と 68.9℃ は、遮断点と復帰点ではなく「個体ばらつきの両端」でした。v2.1.1 の実測では EN しきい値 1.3V、温度ヒステリシスは約 6℃ です。</t>
  </si>
  <si>
    <t>※ サーマルカメラによる温度測定は放射率と熱勾配で大きく外れます（真値 82℃ に対し 120℃ と表示されました）。4-5 は参考記録に留めてください。</t>
  </si>
  <si>
    <t>※ 4-9 は必須ではありません。実施する場合は電流制限付き電源で行い、パックは使わないでください。</t>
  </si>
  <si>
    <t>※ 充電状態の異なるパックで 4-8 を実施してください。満充電と放電末期の組み合わせが最悪条件です。</t>
  </si>
  <si>
    <t>5_ブレーキチョッパ</t>
  </si>
  <si>
    <t>v2.1.1 では Q5（MMBT3906）による反転段で fail-off 構成。R10 の取り外しは不要です。</t>
  </si>
  <si>
    <t>5-1</t>
  </si>
  <si>
    <t>12V レール</t>
  </si>
  <si>
    <t>Vout 29.4V、DMM</t>
  </si>
  <si>
    <t>TP8 / TP3</t>
  </si>
  <si>
    <t>12V ±5%（11.4〜12.6V）</t>
  </si>
  <si>
    <t>5-2</t>
  </si>
  <si>
    <t>基準電圧</t>
  </si>
  <si>
    <t>TP11 / TP3</t>
  </si>
  <si>
    <t>2.495V ±0.5%</t>
  </si>
  <si>
    <t>5-3</t>
  </si>
  <si>
    <t>分圧ノード</t>
  </si>
  <si>
    <t>TP15 / TP3</t>
  </si>
  <si>
    <t>Vout × 0.0774（29.4V で 2.28V）</t>
  </si>
  <si>
    <t>5-4</t>
  </si>
  <si>
    <t>Q5 コレクタ（OFF）</t>
  </si>
  <si>
    <t>チョッパ非動作時</t>
  </si>
  <si>
    <t>TP23 / TP3</t>
  </si>
  <si>
    <t>Vout × 0.0077（29.4V で 226mV）。R14 経由で Chopper_Sense の電位が分圧されて現れる</t>
  </si>
  <si>
    <t>5-5</t>
  </si>
  <si>
    <t>Q4 ゲート（OFF）</t>
  </si>
  <si>
    <t>TP9 / TP12</t>
  </si>
  <si>
    <t>Vout × 0.0070（29.4V で 206mV）。5-4 の値を R12 / R13 で分圧した値</t>
  </si>
  <si>
    <t>5-6</t>
  </si>
  <si>
    <t>Q4 ドレイン（OFF）</t>
  </si>
  <si>
    <t>TP21 / TP12</t>
  </si>
  <si>
    <t>Vout と同電位</t>
  </si>
  <si>
    <t>5-7</t>
  </si>
  <si>
    <t>チョッパ動作点</t>
  </si>
  <si>
    <t>電源電圧を 30V から慎重に上げる</t>
  </si>
  <si>
    <t>32.2V でクランプ開始</t>
  </si>
  <si>
    <t>5-8</t>
  </si>
  <si>
    <t>チョッパ復帰点</t>
  </si>
  <si>
    <t>電圧を下げる</t>
  </si>
  <si>
    <t>30.8V で復帰</t>
  </si>
  <si>
    <t>5-9</t>
  </si>
  <si>
    <t>Q5 コレクタ（ON）</t>
  </si>
  <si>
    <t>チョッパ動作中</t>
  </si>
  <si>
    <t>11.9V 付近</t>
  </si>
  <si>
    <t>5-10</t>
  </si>
  <si>
    <t>Q4 ゲート（ON）</t>
  </si>
  <si>
    <t>10.9V 付近</t>
  </si>
  <si>
    <t>5-11</t>
  </si>
  <si>
    <t>チョッパ電流</t>
  </si>
  <si>
    <t>R11 両端電圧から算出、または電源の電流表示</t>
  </si>
  <si>
    <t>R11 / TP21</t>
  </si>
  <si>
    <t>0.161A 前後（32.2V / 200Ω）</t>
  </si>
  <si>
    <t>5-12</t>
  </si>
  <si>
    <t>R11 のフランジ温度</t>
  </si>
  <si>
    <t>5-7 の状態を数十秒継続</t>
  </si>
  <si>
    <t>周囲＋20℃ 程度（数十秒時点）。連続導通では 150℃ を超えるため長時間続けないこと</t>
  </si>
  <si>
    <t>※ 5-7 は OVP 動作点 34.0V に近いため、電圧はゆっくり上げてください。確認できたら速やかに下げます。</t>
  </si>
  <si>
    <t>※ v2.0.0 ではチョッパが fail-on 構成で、R20 の接続誤り（上端が 12V レールではなく分圧ノード）により VREF が立たず Q4 が常時オンになる不具合がありました。v2.1.0 で修正済みです。</t>
  </si>
  <si>
    <t>※ v2.1.1 の fail-off 構成では、LM397 の故障・12V レール喪失・Q5 のオープン故障・R21 の断線のいずれでも Q4 はオフになります。ただし VREF の崩壊と Q5 / Q4 の短絡故障は fail-on のままです。</t>
  </si>
  <si>
    <t>※ R11 の実効熱抵抗は 18℃/W 前後（v2.1.1 実測）。5.2W の連続導通では平衡温度が 120℃ を大きく超えます。5-7 / 5-12 は短時間で切り上げてください。</t>
  </si>
  <si>
    <t>※ 5-4 / 5-5 は 0V ではありません。R14（1MΩ）がヒステリシス用に Chopper_Sense と Q5 のコレクタを繋いでいるため、チョッパ OFF でも Chopper_Sense の電位が R14 と R12+R13 で分圧されて現れます。Chopper_Sig = Vout × 0.0775 × 110k/(1000k+110k) = Vout × 0.0077。</t>
  </si>
  <si>
    <t>※ この性質を使うと、TP23 の実測値から Vout を逆算できます（Vout ≒ TP23 ÷ 0.0077）。32.2V まで上げなくても、分圧回路と R14 の結線が設計どおりかを低電圧のまま検証できます。</t>
  </si>
  <si>
    <t>※ Q5 がオフであることは、ベース（Chopper_SigBase）と エミッタ（TP8）の電位差がほぼゼロであることで確認できます。v2.1.1 の実測ではベース 12.05V / TP8 − TP23 間 11.7V でした。</t>
  </si>
  <si>
    <t>6_走行時総合</t>
  </si>
  <si>
    <t>実走行状態での確認。6-6 / 6-7 は R11 の最終値を決める項目で、本シートの最優先事項です。</t>
  </si>
  <si>
    <t>6-1</t>
  </si>
  <si>
    <t>バス電圧リプル</t>
  </si>
  <si>
    <t>走行中、AC カップリング</t>
  </si>
  <si>
    <t>18kHz 成分が 100mV 以下</t>
  </si>
  <si>
    <t>mV</t>
  </si>
  <si>
    <t>6-2</t>
  </si>
  <si>
    <t>Q1 ゲート波形</t>
  </si>
  <si>
    <t>走行中、Q1 のゲートを観測</t>
  </si>
  <si>
    <t>Q1 ゲート</t>
  </si>
  <si>
    <t>25ms 周期のリフレッシュのみ。周期外の落ち込みが無いこと</t>
  </si>
  <si>
    <t>6-3</t>
  </si>
  <si>
    <t>順方向降下</t>
  </si>
  <si>
    <t>8A 走行時、ツイストペアで差動測定</t>
  </si>
  <si>
    <t>TP13 − TP4</t>
  </si>
  <si>
    <t>17mV 前後</t>
  </si>
  <si>
    <t>6-4</t>
  </si>
  <si>
    <t>遮断時の Vout</t>
  </si>
  <si>
    <t>走行中にスイッチ OFF</t>
  </si>
  <si>
    <t>負に振れないこと（C7 が支える）</t>
  </si>
  <si>
    <t>6-5</t>
  </si>
  <si>
    <t>給電パックの判別</t>
  </si>
  <si>
    <t>走行中</t>
  </si>
  <si>
    <t>TP13 / TP14</t>
  </si>
  <si>
    <t>電圧の高い側から給電されること</t>
  </si>
  <si>
    <t>6-6</t>
  </si>
  <si>
    <t>回生プロファイル</t>
  </si>
  <si>
    <t>制動時、Ch1=TP21(GND:TP12)、Ch2=TP10</t>
  </si>
  <si>
    <t>導通時間とデューティを記録。R11 を上げられる余地があるかの判断材料</t>
  </si>
  <si>
    <t>6-7</t>
  </si>
  <si>
    <t>制動時の最大 Vout</t>
  </si>
  <si>
    <t>同時観測</t>
  </si>
  <si>
    <t>34.0V（OVP）に達しないこと。余裕があれば R11 を 330Ω / 470Ω に上げられる</t>
  </si>
  <si>
    <t>※ 6-1 が 100mV を大きく超える場合、C5 のリプル電流定格（18kHz で約 1.06A）に対する余裕を再検討してください。</t>
  </si>
  <si>
    <t>※ 6-2 で周期外の落ち込みがあれば、リプルによる逆流誤検出が起きています。</t>
  </si>
  <si>
    <t>※ 6-7 で OVP に達する場合は R11 を引ききれていません。150Ω または 100Ω への変更を検討してください。200Ω は制動時間 2.5 秒以上を前提にした値です。</t>
  </si>
  <si>
    <t>※ 回生エネルギーは並進 4.5J + ロータ慣性 約 1.8J = 約 6.3J と見積もっています。ロータ慣性はデータシートに記載がなく推定値です。</t>
  </si>
  <si>
    <t>※ R11 の候補と、周囲 65℃・熱抵抗 18℃/W での連続導通時の平衡温度：200Ω → 158℃ / 330Ω → 122℃ / 470Ω → 105℃ / 680Ω → 93℃。引ききるのに必要な制動時間は 200Ω で 2.5 秒、470Ω で 5.9 秒です。</t>
  </si>
  <si>
    <t>※ 6-7 で OVP に達する場合は引ききれていません。その場合 R11 を上げる方向には進めず、150Ω / 100Ω への変更を検討することになります。熱と回生能力はトレードオフです。</t>
  </si>
  <si>
    <t>7_GND分離</t>
  </si>
  <si>
    <t>C5 のマイナス端子での一点接続が機能しているかの検証。</t>
  </si>
  <si>
    <t>7-1</t>
  </si>
  <si>
    <t>制御GND−大電流GND</t>
  </si>
  <si>
    <t>チョッパ動作中、差動測定</t>
  </si>
  <si>
    <t>TP3 − TP12</t>
  </si>
  <si>
    <t>数十 mV 以内</t>
  </si>
  <si>
    <t>7-2</t>
  </si>
  <si>
    <t>同上（通常走行時）</t>
  </si>
  <si>
    <t>8A 走行中</t>
  </si>
  <si>
    <t>数 mV 以内</t>
  </si>
  <si>
    <t>※ 想定を超える場合、GND の引き回しを見直してください。次版での改善項目になります。</t>
  </si>
  <si>
    <t>8_外部スイッチ・LED</t>
  </si>
  <si>
    <t>v2.1.1 で追加した非常停止スイッチ（LED 付き、5 ピン、1NO1NC）と F3（PPTC）の確認。</t>
  </si>
  <si>
    <t>8-1</t>
  </si>
  <si>
    <t>非常停止の遮断</t>
  </si>
  <si>
    <t>ボタンを押す</t>
  </si>
  <si>
    <t>Vout が 0V になること</t>
  </si>
  <si>
    <t>8-2</t>
  </si>
  <si>
    <t>復帰</t>
  </si>
  <si>
    <t>ひねって解除</t>
  </si>
  <si>
    <t>Vout が復帰すること</t>
  </si>
  <si>
    <t>8-3</t>
  </si>
  <si>
    <t>接点の導通抵抗</t>
  </si>
  <si>
    <t>無通電、スイッチ解除状態</t>
  </si>
  <si>
    <t>J4 pin3 − pin4</t>
  </si>
  <si>
    <t>1Ω 以下</t>
  </si>
  <si>
    <t>8-4</t>
  </si>
  <si>
    <t>LED 電流（34V）</t>
  </si>
  <si>
    <t>Vout を 34V に設定し、J4 pin1 の電流を測定</t>
  </si>
  <si>
    <t>J4 pin1</t>
  </si>
  <si>
    <t>40mA 以下が望ましい</t>
  </si>
  <si>
    <t>mA</t>
  </si>
  <si>
    <t>8-5</t>
  </si>
  <si>
    <t>LED 電流（19.5V）</t>
  </si>
  <si>
    <t>Vout を 19.5V に設定</t>
  </si>
  <si>
    <t>記録のみ（電圧依存性の確認）</t>
  </si>
  <si>
    <t>8-6</t>
  </si>
  <si>
    <t>F3 の電圧降下</t>
  </si>
  <si>
    <t>8-4 と同時に測定</t>
  </si>
  <si>
    <t>Vout − J4 pin1</t>
  </si>
  <si>
    <t>LED 電流 × 1.6〜15Ω</t>
  </si>
  <si>
    <t>8-7</t>
  </si>
  <si>
    <t>LED 線短絡時のトリップ</t>
  </si>
  <si>
    <t>電流制限付き電源で J4 pin1 − pin2 を短絡</t>
  </si>
  <si>
    <t>F3 がトリップすること。1 秒以内</t>
  </si>
  <si>
    <t>8-8</t>
  </si>
  <si>
    <t>F3 の復帰時間</t>
  </si>
  <si>
    <t>短絡を解除し、LED が再点灯するまで</t>
  </si>
  <si>
    <t>外部 LED</t>
  </si>
  <si>
    <t>※ 8-4 が 40mA を超える場合、F3 を 1206L020/60NR（ホールド電流 200mA）に変更してください。筐体内 65℃ ではホールド電流が 25℃ 定格の 6 割程度まで下がります。</t>
  </si>
  <si>
    <t>※ 8-7 は意図的な短絡試験です。必ず電流制限付き電源で実施し、パックは接続しないでください。</t>
  </si>
  <si>
    <t>※ F3（1206L010/60NR）の諸元：ホールド 100mA / トリップ 250mA / Vmax 60V / 正常時抵抗 1.6〜15Ω / 動作温度 −40〜85℃。</t>
  </si>
  <si>
    <t>※ 外部 LED は Vout から駆動されるため、非常停止・サーマル遮断・OVP・UVLO のいずれで遮断されても消灯します。スイッチ位置ではなく実際の出力を示します。</t>
  </si>
  <si>
    <t>9_ENしきい値選別</t>
  </si>
  <si>
    <t>加熱せずに EN しきい値を測る量産選別。この値で遮断点が決まる。R5 = 3.0kΩ を前提とした窓。</t>
  </si>
  <si>
    <t>注入電圧を上げ、Vout が立つ点</t>
  </si>
  <si>
    <t>9-2</t>
  </si>
  <si>
    <t>立ち下がりしきい値</t>
  </si>
  <si>
    <t>注入電圧を下げ、Vout が落ちる点</t>
  </si>
  <si>
    <t>1.15〜1.50V なら合格</t>
  </si>
  <si>
    <t>9-3</t>
  </si>
  <si>
    <t>9-1 − 9-2</t>
  </si>
  <si>
    <t>150〜300mV</t>
  </si>
  <si>
    <t>試験手順（加熱不要・1 枚あたり 30 秒程度）</t>
  </si>
  <si>
    <t>1. J4 を開放する（非常停止スイッチを外すか、pin3 の配線を外す）。VBUS からの EN 分圧経路が切れる</t>
  </si>
  <si>
    <t>2. J1 に VBUS 24V を印加する（電流制限 0.5A）</t>
  </si>
  <si>
    <t>3. 可変電源を TP7（＋）と TP2（−）に接続する。電流制限 1mA、上限 3V</t>
  </si>
  <si>
    <t>4. 注入電圧を 0V からゆっくり上げ、Vout（TP10）が立った電圧を 9-1 に記録する</t>
  </si>
  <si>
    <t>5. ゆっくり下げ、Vout が落ちた電圧を 9-2 に記録する</t>
  </si>
  <si>
    <t>6. 9-2 が 1.15〜1.50V なら合格。外れた基板は交換する</t>
  </si>
  <si>
    <t>9-2 から算出される遮断点（自動計算）</t>
  </si>
  <si>
    <t>R5 の実装値 (Ω)</t>
  </si>
  <si>
    <t>R_top (Ω)</t>
  </si>
  <si>
    <t>VBUS 19.5V（放電末期）</t>
  </si>
  <si>
    <t>VBUS 29.4V（満充電）</t>
  </si>
  <si>
    <t>判定の目安</t>
  </si>
  <si>
    <t>分圧下側抵抗 R_b (Ω)</t>
  </si>
  <si>
    <t>TH1 の抵抗 (Ω)</t>
  </si>
  <si>
    <t>TH1 の遮断点 (℃)</t>
  </si>
  <si>
    <t>85℃ 以上が望ましい</t>
  </si>
  <si>
    <t>Q1 の推定温度 (℃)</t>
  </si>
  <si>
    <t>140℃ 以下（Tjmax 150℃）</t>
  </si>
  <si>
    <t>筐体内 65℃ での余裕 (℃)</t>
  </si>
  <si>
    <t>20℃ 以上が望ましい</t>
  </si>
  <si>
    <t>※ 9-2 の測定値は J4 を開放して TP7 に電圧を注入するため、LM5060 単体の EN しきい値であり R5 の値に依存しません。R5 に依存するのは下の算出温度だけです。F17 に実装値を入れてください（量産は 3.0kΩ、v2.1.1 初期ロットは 14.7kΩ）。</t>
  </si>
  <si>
    <t>※ この窓は「通常走行時の TH1 上昇が周囲＋20℃ 以下」「Q1 − TH1 オフセット 29℃」を仮定した暫定値です。3-3 と 3-4 / 3-5 の実測が出たら再計算してください。</t>
  </si>
  <si>
    <t>※ LM5060 自身の温度ドリフトはデータシートに規定がありません。25℃ で測った値が筐体内 65℃ でどう動くかは不明で、この選別では保証できません。根本的には次版でマイコンの ADC に移すのが確実です。</t>
  </si>
  <si>
    <t>※ D8 が 3.9V でクランプするので、注入電圧は 3V を超えないでください。</t>
  </si>
  <si>
    <t>※ 手順 3 の電流制限は 1mA 程度にしてください。EN の ENBIAS は 6µA なので十分です。</t>
  </si>
  <si>
    <t>遮断点の個体ばらつき一覧（EN しきい値 × VBUS。TH1 温度 ℃）</t>
  </si>
  <si>
    <t>EN しきい値</t>
  </si>
  <si>
    <t>意味</t>
  </si>
  <si>
    <t>R5=14.7kΩ
19.5V</t>
  </si>
  <si>
    <t>R5=14.7kΩ
24.0V</t>
  </si>
  <si>
    <t>R5=14.7kΩ
29.4V</t>
  </si>
  <si>
    <t>R5=3.0kΩ
19.5V</t>
  </si>
  <si>
    <t>R5=3.0kΩ
24.0V</t>
  </si>
  <si>
    <t>R5=3.0kΩ
29.4V</t>
  </si>
  <si>
    <t>0.80 V</t>
  </si>
  <si>
    <t>ENTHL・最も遅く遮断</t>
  </si>
  <si>
    <t>1.15 V</t>
  </si>
  <si>
    <t>選別窓の下限</t>
  </si>
  <si>
    <t>1.30 V</t>
  </si>
  <si>
    <t>v2.1.1 実測値</t>
  </si>
  <si>
    <t>1.50 V</t>
  </si>
  <si>
    <t>選別窓の上限</t>
  </si>
  <si>
    <t>2.00 V</t>
  </si>
  <si>
    <t>ENTHH・最も早く遮断</t>
  </si>
  <si>
    <t>Q1 の推定接合部温度（上表 ＋ 29℃。Tjmax 150℃）</t>
  </si>
  <si>
    <t>※ 算出式：V_EN =（VBUS / R_top − 6µA）/（1 / R_top + 1 / R_b）。R_top = R9 10kΩ + R5、R_b = R6 100kΩ ∥ TH1。TH1 = NCP21XV103J03RA（10kΩ、B = 3944）。</t>
  </si>
  <si>
    <t>※ 回路構成の確認済み事項：VBUS →[R9 10k]→ J4 pin3 →[スイッチ]→ J4 pin4 →[R5]→ EN。EN から GND へ D8 / R6 / TH1 が並列。R2 / R3 / R4 は UVLO・OVP 専用の別分圧で、EN とは独立しています。</t>
  </si>
  <si>
    <t>※ 選別窓 1.15〜1.50V の根拠：下限は Q1 の温度制約（0.80V・29.4V で Q1 が 153℃ となり Tjmax 150℃ を超えるため）。上限は誤遮断の制約（1.50V・19.5V で 65℃ に対する余裕が +19.7℃ となり、目標 +20℃ にちょうど接するため）。両端とも制約が効いており、窓はこれ以上広げられません。</t>
  </si>
  <si>
    <t>※ 選別しない場合（0.80〜2.00V を全数受け入れる場合）、R5 = 3.0kΩ でも遮断点は 74.6〜124.4℃、幅 50℃ に散ります。下端 74.6℃ は筐体内 65℃ に対し +9.6℃ しかなく、通常走行時の TH1 上昇が 10℃ を超えると起動できません。</t>
  </si>
  <si>
    <t>※ 「＋29℃」は Q1 − TH1 オフセットの仮定値です。3-4 / 3-5 の実測で +40℃ 程度と判明した場合、下限 1.15V でも 29.4V で Q1 が 150℃ に達し、下限と上限が交差して窓が成立しなくなります。その場合は R5 = 3.0kΩ ＋ 選別という方針自体が使えません。</t>
  </si>
  <si>
    <t>※ D8（BZT52C3V9）は 3.2V 付近でクランプします。R5 = 3.0kΩ・VBUS 29.4V では TH1 が約 66℃（19.5V なら約 52℃）に達するまで EN はクランプに張り付き、温度情報を持ちません。3-3 の通常走行時の TH1 上昇を EN 電圧から読むことはできないため、TH1 の抵抗を直接測ってください。</t>
  </si>
  <si>
    <t>個体ごとの EN しきい値記録</t>
  </si>
  <si>
    <t>個体</t>
  </si>
  <si>
    <t>立ち下がり (V)</t>
  </si>
  <si>
    <t>立ち上がり (V)</t>
  </si>
  <si>
    <t>ヒステリシス (mV)</t>
  </si>
  <si>
    <t>測定方法</t>
  </si>
  <si>
    <t>状態</t>
  </si>
  <si>
    <t>1 号機</t>
  </si>
  <si>
    <t>4-2 / 4-4（実動作）</t>
  </si>
  <si>
    <t>破壊（Q3 ゲート）</t>
  </si>
  <si>
    <t>2026-10-08、出力短絡で Q3 のゲート酸化膜が破壊。EN しきい値のデータは有効</t>
  </si>
  <si>
    <t>2 号機</t>
  </si>
  <si>
    <t>9-1 / 9-2（選別手順）</t>
  </si>
  <si>
    <t>3 号機</t>
  </si>
  <si>
    <t>※ 1 号機の 1.30V / 1.55V は実動作中（4-2 / 4-4）の測定値で、9-1 / 9-2 の注入法とは手順が違いますが、どちらも LM5060 の EN しきい値そのものを測っているので直接比較できます。</t>
  </si>
  <si>
    <t>※ 2 号機以降のデータが揃うと、選別窓 1.15〜1.50V が現実的な歩留まりかどうかが判断できます。2 個とも窓の外なら、窓の設定か R5 の値を見直す必要があります。</t>
  </si>
  <si>
    <t>設計値と実測値の比較サマリ</t>
  </si>
  <si>
    <t>各シートに入力すると自動で反映されます（灰色セル）。</t>
  </si>
  <si>
    <t>設計値</t>
  </si>
  <si>
    <t>差</t>
  </si>
  <si>
    <t>UVLO 遮断</t>
  </si>
  <si>
    <t>19.5 V</t>
  </si>
  <si>
    <t>UVLO 復帰</t>
  </si>
  <si>
    <t>17.4 V</t>
  </si>
  <si>
    <t>34.0 V</t>
  </si>
  <si>
    <t>30.1 V</t>
  </si>
  <si>
    <t>EN 電圧（25℃）</t>
  </si>
  <si>
    <t>3.9 V</t>
  </si>
  <si>
    <t>立ち上がり時間</t>
  </si>
  <si>
    <t>53.9 ms</t>
  </si>
  <si>
    <t>2.0 A</t>
  </si>
  <si>
    <t>EN 立ち下がりしきい値</t>
  </si>
  <si>
    <t>1.15〜1.50 V</t>
  </si>
  <si>
    <t>200 mV</t>
  </si>
  <si>
    <t>12.0 V</t>
  </si>
  <si>
    <t>2.495 V</t>
  </si>
  <si>
    <t>32.2 V</t>
  </si>
  <si>
    <t>30.8 V</t>
  </si>
  <si>
    <t>0.161 A</t>
  </si>
  <si>
    <t>実測でのみ得られる値</t>
  </si>
  <si>
    <t>この値で決まること</t>
  </si>
  <si>
    <t>C15 / C16 の実装可否（3580µF で実装済み）</t>
  </si>
  <si>
    <t>R5 の最終値</t>
  </si>
  <si>
    <t>Q1 − TH1 オフセット</t>
  </si>
  <si>
    <t>R5 の最終値、遮断点の妥当性</t>
  </si>
  <si>
    <t>R1（OCP しきい値）の妥当性</t>
  </si>
  <si>
    <t>R11 の実装品質、熱抵抗の再確認</t>
  </si>
  <si>
    <t>バスリプル（18kHz）</t>
  </si>
  <si>
    <t>C5 のリプル耐性の余裕</t>
  </si>
  <si>
    <t>R11 の最終値（200Ω で足りるか）</t>
  </si>
  <si>
    <t>TP3−TP12 電位差</t>
  </si>
  <si>
    <t>GND 分離設計の妥当性</t>
  </si>
  <si>
    <t>F3 の品種（100mA 品で足りるか）</t>
  </si>
  <si>
    <t>サーマル遮断点（算出）</t>
  </si>
  <si>
    <t>放電末期での遮断点。65℃ 環境での余裕</t>
  </si>
  <si>
    <t>総合判定</t>
  </si>
  <si>
    <t>次版への申し送り事項</t>
  </si>
  <si>
    <t>v2.0.0 からの変更履歴</t>
  </si>
  <si>
    <t>試験時に設計値の根拠をたどるための記録。</t>
  </si>
  <si>
    <t>版</t>
  </si>
  <si>
    <t>対象</t>
  </si>
  <si>
    <t>変更内容</t>
  </si>
  <si>
    <t>理由・根拠</t>
  </si>
  <si>
    <t>v2.1.0</t>
  </si>
  <si>
    <t>R20</t>
  </si>
  <si>
    <t>上端の接続先を分圧ノードから 12V レール（Chopper_12V）へ修正</t>
  </si>
  <si>
    <t>TL431 にバイアス電流が流れず VREF が立たなかった。動作点では分圧ノードと VREF が同電位になるため、原理的にカソード電流が得られない構成だった</t>
  </si>
  <si>
    <t>U2 の入力</t>
  </si>
  <si>
    <t>pin3(IN+) = VREF、pin1(IN−) = Chopper_Sense に入れ替え</t>
  </si>
  <si>
    <t>チョッパを fail-off 構成にするため。過電圧時に OUT が Low を引く向きにする</t>
  </si>
  <si>
    <t>Q5 / R21</t>
  </si>
  <si>
    <t>MMBT3906 による PNP 反転段を追加（R21 = 22kΩ）</t>
  </si>
  <si>
    <t>LM397 がオープンコレクタのため、能動的にオンさせないと Q4 が駆動されない構成にする</t>
  </si>
  <si>
    <t>R19</t>
  </si>
  <si>
    <t>Chopper_Sig のプルアップから Q5 のベース−エミッタ間プルアップへ役割変更</t>
  </si>
  <si>
    <t>Q5 のオフ状態を保持するため。値は 10kΩ のまま</t>
  </si>
  <si>
    <t>R14</t>
  </si>
  <si>
    <t>953kΩ → 1MΩ、接続先を U2 の OUT から Q5 のコレクタへ変更</t>
  </si>
  <si>
    <t>帰還ノードの振幅が 10.8V から 11.9V に変わったためヒステリシス幅を再計算。ΔVout = 1.40V</t>
  </si>
  <si>
    <t>R11</t>
  </si>
  <si>
    <t>27Ω → 200Ω（RESI TPAN0263F200RK9）</t>
  </si>
  <si>
    <t>fail-on 時の消費を 38.4W から 5.2W に下げるため。当初は実効熱抵抗 5.8℃/W で周囲 65℃ でもフランジ 95℃ に収まる想定だったが、v2.1.1 の実測で 18℃/W 前後と判明し、連続導通時の平衡は 158℃ になる。最終値は 6-6 / 6-7 の回生プロファイル実測で決める</t>
  </si>
  <si>
    <t>C17</t>
  </si>
  <si>
    <t>U2 の電源に 1µF のデカップリングを追加</t>
  </si>
  <si>
    <t>LM397 データシートの Layout Guidelines に従う</t>
  </si>
  <si>
    <t>C15 / C16</t>
  </si>
  <si>
    <t>22nF / 0.15µF を実装（v2.0.0 は DNP）</t>
  </si>
  <si>
    <t>MDDS30 の入力容量を 100Hz で実測し 3580µF。未実装では突入電流が 4.0A となり基準 2.4A を超えるため</t>
  </si>
  <si>
    <t>TP21 / TP23</t>
  </si>
  <si>
    <t>Q4 ドレインと Q5 コレクタのテストポイントを追加</t>
  </si>
  <si>
    <t>回生プロファイルの測定と駆動段の健全性確認のため</t>
  </si>
  <si>
    <t>TP3 / TP12 ほか</t>
  </si>
  <si>
    <t>GND テストポイントの一部をスルーホール化</t>
  </si>
  <si>
    <t>ミノムシクリップで固定し、測定時に両手を空けるため</t>
  </si>
  <si>
    <t>ポリスイッチ</t>
  </si>
  <si>
    <t>チョッパ経路への追加を検討したが不採用</t>
  </si>
  <si>
    <t>R11 を 200Ω にしたことで fail-on 時の発熱が問題にならなくなったため。低バス電圧（19.5V / 0.72A）では 0.5A 品がトリップしないという制約もあった</t>
  </si>
  <si>
    <t>v2.1.1</t>
  </si>
  <si>
    <t>2 端子 → 4 端子（JST XA S04B-XASK-1、側面実装）</t>
  </si>
  <si>
    <t>LED 付き非常停止スイッチを採用。pin1 Vout_after_PPTC / pin2 GND / pin3 EN_1 側 / pin4 EN_2 側。GND を Vout と接点の間に置き、隣接短絡時の挙動を安全側にした</t>
  </si>
  <si>
    <t>F3</t>
  </si>
  <si>
    <t>1206L010/60NR（PPTC）を Vout と J4 pin1 の間に追加</t>
  </si>
  <si>
    <t>LED 線が筐体外に出るため、短絡時に Vout が GND に落ちる経路を保護する</t>
  </si>
  <si>
    <t>v2.1.1 実測</t>
  </si>
  <si>
    <t>R11 の熱抵抗</t>
  </si>
  <si>
    <t>実効熱抵抗を 5.8℃/W から 18℃/W 前後へ改訂（設計変更ではなく実測結果）</t>
  </si>
  <si>
    <t>32.5V / 5.28W で 120℃ に達しても平衡せず。当初値は v2.0.0 の 14.1W・飽和前の測定で、低電力域での自然対流の悪化を織り込めていなかった</t>
  </si>
  <si>
    <t>LM5060 EN の解釈</t>
  </si>
  <si>
    <t>判定を温度から EN 電圧に変更。R5 を 14.7kΩ → 3.0kΩ に変更予定、合格窓 1.15〜1.50V の選別試験を追加</t>
  </si>
  <si>
    <t>EN は比較器ではなくロジック入力で、0.80V / 2.00V は保証されたロジックレベル。実際のしきい値はその間の 1 点、ヒステリシス 200mV typ。旧設計値 100.2℃ / 68.9℃ は遮断点と復帰点ではなく個体ばらつきの両端だった</t>
  </si>
  <si>
    <t>EN 分圧の構成確認</t>
  </si>
  <si>
    <t>ネットリストを確認し、R_top = R9 10kΩ + R5、R_b = R6 100kΩ ∥ TH1 と確定。R2 / R3 / R4 は UVLO・OVP 専用で EN とは独立</t>
  </si>
  <si>
    <t>4-6 の 3.225V は分圧比ではなく D8 のクランプによるもの（分圧だけなら 29.4V・20℃ で 9.1V になる）。9_ENしきい値選別 の R_top = 13kΩ は R5 = 3.0kΩ を前提とした正しい値であることを確認</t>
  </si>
  <si>
    <t>2-2 / 2-3 / 2-5</t>
  </si>
  <si>
    <t>2026-10-08 の測定は電源の電流制限（約0.3A）不足により無効。電流制限 3A 以上で再測定</t>
  </si>
  <si>
    <t>立ち上がり約200ms・階段状・TIMER の 35ms 周期リセットはすべて UVLO リトライによるもの。階段の終端 18.0〜18.4V が UVLO 立ち下がり実測 17.95V と一致することで確定。ゲート終値 40.6V（Vgs 11.8V）は正常</t>
  </si>
  <si>
    <t>2-2 / 2-3 / 2-4 / 2-5</t>
  </si>
  <si>
    <t>電流制限 4A で再測定し合格。ゲート終値 40.1V（Vgs 11.8V）、Vout 立ち上がり 74ms、突入 1.39A、TIMER ピーク 0.70V</t>
  </si>
  <si>
    <t>ゲート電流は規格下限側の約17〜19µA（typ 24µA）で、立ち上がりは遅い側コーナー。許容 40〜83ms 内。TIMER 容量は 1本目の傾き 14.4mV/ms と 6µA から 0.42µF と求まり、C6＋C16 = 0.48µF の実装を確認</t>
  </si>
  <si>
    <t>v2.1.1 事故</t>
  </si>
  <si>
    <t>Q3 破壊</t>
  </si>
  <si>
    <t>2026-10-08、試験中に通電状態の MDDS30 で VB+ − VB− を短絡。Q3 がドレイン−ソース間短絡で破壊され、Vout が常時通電になった</t>
  </si>
  <si>
    <t>LM5060 は健全（LED1 がスイッチと連動）。VDS 保護は TIMER が 2.0V に達するまで遮断しないため 74〜106ms の短絡電流が流れる。①の残り（3-3 / 3-4 / 3-5、6-6 / 6-7）は予備基板で実施する。EN しきい値は個体差があるため 4-2 / 4-4 は測り直し（ばらつきの 2 点目として有用）</t>
  </si>
  <si>
    <r>
      <t>0.482</t>
    </r>
    <r>
      <rPr>
        <sz val="10"/>
        <color rgb="FF0000FF"/>
        <rFont val="Arial"/>
        <family val="2"/>
        <charset val="161"/>
      </rPr>
      <t>Ω</t>
    </r>
    <phoneticPr fontId="27"/>
  </si>
  <si>
    <r>
      <t>6.8k</t>
    </r>
    <r>
      <rPr>
        <sz val="10"/>
        <color rgb="FF0000FF"/>
        <rFont val="Calibri"/>
        <family val="2"/>
        <charset val="161"/>
      </rPr>
      <t>Ω</t>
    </r>
    <phoneticPr fontId="27"/>
  </si>
  <si>
    <t>continue rising</t>
    <phoneticPr fontId="27"/>
  </si>
  <si>
    <t>未実施</t>
  </si>
  <si>
    <r>
      <rPr>
        <sz val="10"/>
        <color rgb="FF0000FF"/>
        <rFont val="ＭＳ Ｐゴシック"/>
        <family val="2"/>
        <charset val="128"/>
      </rPr>
      <t>基板</t>
    </r>
    <r>
      <rPr>
        <sz val="10"/>
        <color rgb="FF0000FF"/>
        <rFont val="Arial"/>
        <family val="2"/>
      </rPr>
      <t>v2.1.0</t>
    </r>
    <r>
      <rPr>
        <sz val="10"/>
        <color rgb="FF0000FF"/>
        <rFont val="ＭＳ Ｐゴシック"/>
        <family val="2"/>
        <charset val="128"/>
      </rPr>
      <t>を使っているためスキップ</t>
    </r>
    <rPh sb="0" eb="2">
      <t>キバン</t>
    </rPh>
    <rPh sb="9" eb="10">
      <t>ツカ</t>
    </rPh>
    <phoneticPr fontId="27"/>
  </si>
  <si>
    <t>90.7K</t>
    <phoneticPr fontId="27"/>
  </si>
  <si>
    <t>3.225V</t>
    <phoneticPr fontId="27"/>
  </si>
  <si>
    <t>3580µF</t>
    <phoneticPr fontId="27"/>
  </si>
  <si>
    <r>
      <rPr>
        <sz val="6"/>
        <color rgb="FF0000FF"/>
        <rFont val="ＭＳ Ｐゴシック"/>
        <family val="2"/>
        <charset val="128"/>
      </rPr>
      <t>一本目のランプ：ピーク</t>
    </r>
    <r>
      <rPr>
        <sz val="6"/>
        <color rgb="FF0000FF"/>
        <rFont val="Arial"/>
        <family val="2"/>
      </rPr>
      <t xml:space="preserve"> 0.70 V
</t>
    </r>
    <r>
      <rPr>
        <sz val="6"/>
        <color rgb="FF0000FF"/>
        <rFont val="ＭＳ Ｐゴシック"/>
        <family val="2"/>
        <charset val="128"/>
      </rPr>
      <t>２本目のランプ：ピーク</t>
    </r>
    <r>
      <rPr>
        <sz val="6"/>
        <color rgb="FF0000FF"/>
        <rFont val="Arial"/>
        <family val="2"/>
      </rPr>
      <t xml:space="preserve"> 0.76 V</t>
    </r>
    <rPh sb="0" eb="3">
      <t>イッポンメ</t>
    </rPh>
    <rPh sb="20" eb="22">
      <t>ホンメ</t>
    </rPh>
    <phoneticPr fontId="27"/>
  </si>
  <si>
    <r>
      <t>1.3V</t>
    </r>
    <r>
      <rPr>
        <sz val="10"/>
        <color rgb="FF0000FF"/>
        <rFont val="ＭＳ Ｐゴシック"/>
        <family val="2"/>
        <charset val="128"/>
      </rPr>
      <t>程度</t>
    </r>
    <rPh sb="4" eb="6">
      <t>テイド</t>
    </rPh>
    <phoneticPr fontId="27"/>
  </si>
  <si>
    <r>
      <t>1.5</t>
    </r>
    <r>
      <rPr>
        <sz val="10"/>
        <color rgb="FF0000FF"/>
        <rFont val="ＭＳ Ｐゴシック"/>
        <family val="2"/>
        <charset val="128"/>
      </rPr>
      <t>～1.6</t>
    </r>
    <r>
      <rPr>
        <sz val="10"/>
        <color rgb="FF0000FF"/>
        <rFont val="Arial"/>
        <family val="2"/>
      </rPr>
      <t>V</t>
    </r>
    <phoneticPr fontId="27"/>
  </si>
  <si>
    <r>
      <t>120°</t>
    </r>
    <r>
      <rPr>
        <sz val="10"/>
        <color rgb="FF0000FF"/>
        <rFont val="ＭＳ Ｐゴシック"/>
        <family val="2"/>
        <charset val="128"/>
      </rPr>
      <t>程度</t>
    </r>
    <rPh sb="4" eb="6">
      <t>テイド</t>
    </rPh>
    <phoneticPr fontId="27"/>
  </si>
  <si>
    <t>3.2V</t>
    <phoneticPr fontId="27"/>
  </si>
  <si>
    <t>12.11V</t>
    <phoneticPr fontId="27"/>
  </si>
  <si>
    <t>2.502V</t>
    <phoneticPr fontId="27"/>
  </si>
  <si>
    <t>2.297V</t>
    <phoneticPr fontId="27"/>
  </si>
  <si>
    <t>226mV</t>
    <phoneticPr fontId="27"/>
  </si>
  <si>
    <t>206mV</t>
    <phoneticPr fontId="27"/>
  </si>
  <si>
    <t>29.68V</t>
    <phoneticPr fontId="27"/>
  </si>
  <si>
    <t>32.06V</t>
    <phoneticPr fontId="27"/>
  </si>
  <si>
    <t>31.31V</t>
    <phoneticPr fontId="27"/>
  </si>
  <si>
    <t>12,27V</t>
    <phoneticPr fontId="27"/>
  </si>
  <si>
    <t>11.02V</t>
    <phoneticPr fontId="27"/>
  </si>
  <si>
    <t>0.173A</t>
    <phoneticPr fontId="27"/>
  </si>
  <si>
    <t>NG</t>
  </si>
  <si>
    <t>1.59V</t>
    <phoneticPr fontId="27"/>
  </si>
  <si>
    <t>1.38V</t>
    <phoneticPr fontId="27"/>
  </si>
  <si>
    <t>立ち上がりしきい値</t>
    <phoneticPr fontId="27"/>
  </si>
  <si>
    <t>ゲート立ち上がり</t>
    <phoneticPr fontId="27"/>
  </si>
  <si>
    <r>
      <t xml:space="preserve">Vout </t>
    </r>
    <r>
      <rPr>
        <sz val="10"/>
        <rFont val="ＭＳ ゴシック"/>
        <family val="3"/>
        <charset val="128"/>
      </rPr>
      <t>立ち上がり</t>
    </r>
    <phoneticPr fontId="2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</si>
</sst>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00;\-0.00;\-"/>
  </numFmts>
  <fonts count="36">
    <font>
      <sz val="11"/>
      <color theme="1"/>
      <name val="Calibri"/>
      <family val="2"/>
      <charset val="1"/>
    </font>
    <font>
      <sz val="10"/>
      <name val="Arial"/>
      <family val="2"/>
    </font>
    <font>
      <b/>
      <sz val="14"/>
      <name val="Arial"/>
      <family val="2"/>
    </font>
    <font>
      <sz val="9"/>
      <color rgb="FF666666"/>
      <name val="Arial"/>
      <family val="2"/>
    </font>
    <font>
      <sz val="9"/>
      <color rgb="FF666666"/>
      <name val="Noto Sans CJK SC"/>
      <family val="2"/>
    </font>
    <font>
      <b/>
      <sz val="10"/>
      <name val="Noto Sans CJK SC"/>
      <family val="2"/>
      <charset val="1"/>
    </font>
    <font>
      <sz val="10"/>
      <name val="Noto Sans CJK SC"/>
      <family val="2"/>
      <charset val="1"/>
    </font>
    <font>
      <sz val="10"/>
      <color rgb="FF0000FF"/>
      <name val="Arial"/>
      <family val="2"/>
    </font>
    <font>
      <sz val="10"/>
      <name val="Arial"/>
      <family val="2"/>
    </font>
    <font>
      <sz val="10"/>
      <name val="Noto Sans CJK SC"/>
      <family val="2"/>
    </font>
    <font>
      <b/>
      <sz val="11"/>
      <color rgb="FFFFFFFF"/>
      <name val="Noto Sans CJK SC"/>
      <family val="2"/>
      <charset val="1"/>
    </font>
    <font>
      <sz val="9"/>
      <color rgb="FF666666"/>
      <name val="Noto Sans CJK SC"/>
      <family val="2"/>
      <charset val="1"/>
    </font>
    <font>
      <b/>
      <sz val="11"/>
      <color rgb="FFFFFFFF"/>
      <name val="Arial"/>
      <family val="2"/>
    </font>
    <font>
      <b/>
      <sz val="10"/>
      <name val="Arial"/>
      <family val="2"/>
    </font>
    <font>
      <b/>
      <sz val="10"/>
      <name val="Noto Sans CJK SC"/>
      <family val="2"/>
    </font>
    <font>
      <b/>
      <sz val="11"/>
      <color rgb="FFFFFFFF"/>
      <name val="Noto Sans CJK SC"/>
      <family val="2"/>
    </font>
    <font>
      <b/>
      <sz val="14"/>
      <name val="Noto Sans CJK SC"/>
      <family val="2"/>
      <charset val="1"/>
    </font>
    <font>
      <b/>
      <sz val="10"/>
      <name val="Calibri"/>
      <family val="2"/>
    </font>
    <font>
      <b/>
      <sz val="11"/>
      <color rgb="FFFFFFFF"/>
      <name val="Calibri"/>
      <family val="2"/>
    </font>
    <font>
      <sz val="10"/>
      <name val="Calibri"/>
      <family val="2"/>
    </font>
    <font>
      <b/>
      <sz val="10"/>
      <color rgb="FFC00000"/>
      <name val="Calibri"/>
      <family val="2"/>
    </font>
    <font>
      <sz val="9"/>
      <color rgb="FF666666"/>
      <name val="Calibri"/>
      <family val="2"/>
    </font>
    <font>
      <sz val="9"/>
      <name val="Calibri"/>
      <family val="2"/>
    </font>
    <font>
      <b/>
      <sz val="10"/>
      <color rgb="FF1F4E79"/>
      <name val="Calibri"/>
      <family val="2"/>
    </font>
    <font>
      <b/>
      <sz val="9"/>
      <name val="Calibri"/>
      <family val="2"/>
    </font>
    <font>
      <b/>
      <sz val="11"/>
      <color rgb="FF1F4E79"/>
      <name val="Calibri"/>
      <family val="2"/>
    </font>
    <font>
      <b/>
      <sz val="10"/>
      <color rgb="FFFFFFFF"/>
      <name val="Calibri"/>
      <family val="2"/>
    </font>
    <font>
      <sz val="6"/>
      <name val="ＭＳ Ｐゴシック"/>
      <family val="3"/>
      <charset val="128"/>
    </font>
    <font>
      <sz val="10"/>
      <color rgb="FF0000FF"/>
      <name val="Arial"/>
      <family val="2"/>
      <charset val="161"/>
    </font>
    <font>
      <sz val="10"/>
      <color rgb="FF0000FF"/>
      <name val="Calibri"/>
      <family val="2"/>
      <charset val="161"/>
    </font>
    <font>
      <sz val="10"/>
      <color rgb="FF0000FF"/>
      <name val="Arial"/>
      <family val="2"/>
      <charset val="128"/>
    </font>
    <font>
      <sz val="10"/>
      <color rgb="FF0000FF"/>
      <name val="ＭＳ Ｐゴシック"/>
      <family val="2"/>
      <charset val="128"/>
    </font>
    <font>
      <sz val="6"/>
      <color rgb="FF0000FF"/>
      <name val="Arial"/>
      <family val="2"/>
      <charset val="128"/>
    </font>
    <font>
      <sz val="6"/>
      <color rgb="FF0000FF"/>
      <name val="ＭＳ Ｐゴシック"/>
      <family val="2"/>
      <charset val="128"/>
    </font>
    <font>
      <sz val="6"/>
      <color rgb="FF0000FF"/>
      <name val="Arial"/>
      <family val="2"/>
    </font>
    <font>
      <sz val="10"/>
      <name val="ＭＳ ゴシック"/>
      <family val="3"/>
      <charset val="128"/>
    </font>
  </fonts>
  <fills count="8">
    <fill>
      <patternFill patternType="none"/>
    </fill>
    <fill>
      <patternFill patternType="gray125"/>
    </fill>
    <fill>
      <patternFill patternType="solid">
        <fgColor rgb="FFFFF2CC"/>
        <bgColor rgb="FFEAEAEA"/>
      </patternFill>
    </fill>
    <fill>
      <patternFill patternType="solid">
        <fgColor rgb="FFEAEAEA"/>
        <bgColor rgb="FFFFF2CC"/>
      </patternFill>
    </fill>
    <fill>
      <patternFill patternType="solid">
        <fgColor rgb="FF1F4E79"/>
        <bgColor rgb="FF003366"/>
      </patternFill>
    </fill>
    <fill>
      <patternFill patternType="solid">
        <fgColor rgb="FF1F4E79"/>
      </patternFill>
    </fill>
    <fill>
      <patternFill patternType="solid">
        <fgColor rgb="FFEAEAEA"/>
      </patternFill>
    </fill>
    <fill>
      <patternFill patternType="solid">
        <fgColor rgb="FFFFF2C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2">
    <xf numFmtId="0" fontId="0" fillId="0" borderId="0" xfId="0"/>
    <xf numFmtId="0" fontId="2" fillId="0" borderId="0" xfId="0" applyFont="1"/>
    <xf numFmtId="0" fontId="3" fillId="0" borderId="0" xfId="0" applyFont="1"/>
    <xf numFmtId="0" fontId="5" fillId="0" borderId="0" xfId="0" applyFont="1"/>
    <xf numFmtId="0" fontId="6" fillId="0" borderId="0" xfId="0" applyFont="1"/>
    <xf numFmtId="0" fontId="7" fillId="2" borderId="1" xfId="0" applyFont="1" applyFill="1" applyBorder="1"/>
    <xf numFmtId="0" fontId="6" fillId="2" borderId="0" xfId="0" applyFont="1" applyFill="1"/>
    <xf numFmtId="0" fontId="6" fillId="3" borderId="0" xfId="0" applyFont="1" applyFill="1"/>
    <xf numFmtId="0" fontId="8" fillId="0" borderId="0" xfId="0" applyFont="1"/>
    <xf numFmtId="0" fontId="6" fillId="0" borderId="0" xfId="0" applyFont="1" applyAlignment="1">
      <alignment wrapText="1"/>
    </xf>
    <xf numFmtId="0" fontId="10" fillId="4" borderId="1" xfId="0" applyFont="1" applyFill="1" applyBorder="1" applyAlignment="1">
      <alignment horizontal="center"/>
    </xf>
    <xf numFmtId="0" fontId="6" fillId="0" borderId="1" xfId="0" applyFont="1" applyBorder="1" applyAlignment="1">
      <alignment vertical="center" wrapText="1"/>
    </xf>
    <xf numFmtId="0" fontId="8" fillId="0" borderId="1" xfId="0" applyFont="1" applyBorder="1" applyAlignment="1">
      <alignment vertical="center" wrapText="1"/>
    </xf>
    <xf numFmtId="0" fontId="11" fillId="0" borderId="0" xfId="0" applyFont="1"/>
    <xf numFmtId="0" fontId="12" fillId="4"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2" borderId="1" xfId="0" applyFont="1" applyFill="1" applyBorder="1" applyAlignment="1">
      <alignment horizontal="center" vertical="center" wrapText="1"/>
    </xf>
    <xf numFmtId="0" fontId="3" fillId="0" borderId="0" xfId="0" applyFont="1" applyAlignment="1">
      <alignment wrapText="1"/>
    </xf>
    <xf numFmtId="0" fontId="11" fillId="0" borderId="0" xfId="0" applyFont="1" applyAlignment="1">
      <alignment wrapText="1"/>
    </xf>
    <xf numFmtId="0" fontId="13" fillId="0" borderId="0" xfId="0" applyFont="1"/>
    <xf numFmtId="0" fontId="8" fillId="3" borderId="1" xfId="0" applyFont="1" applyFill="1" applyBorder="1" applyAlignment="1">
      <alignment vertical="center" wrapText="1"/>
    </xf>
    <xf numFmtId="0" fontId="4" fillId="0" borderId="0" xfId="0" applyFont="1" applyAlignment="1">
      <alignment wrapText="1"/>
    </xf>
    <xf numFmtId="0" fontId="9" fillId="0" borderId="1" xfId="0" applyFont="1" applyBorder="1" applyAlignment="1">
      <alignment vertical="center" wrapText="1"/>
    </xf>
    <xf numFmtId="0" fontId="8" fillId="0" borderId="0" xfId="0" applyFont="1" applyAlignment="1">
      <alignment wrapText="1"/>
    </xf>
    <xf numFmtId="0" fontId="14" fillId="0" borderId="0" xfId="0" applyFont="1" applyAlignment="1">
      <alignment wrapText="1"/>
    </xf>
    <xf numFmtId="0" fontId="15" fillId="4" borderId="1" xfId="0" applyFont="1" applyFill="1" applyBorder="1" applyAlignment="1">
      <alignment horizontal="center"/>
    </xf>
    <xf numFmtId="1" fontId="8" fillId="3" borderId="1" xfId="0" applyNumberFormat="1" applyFont="1" applyFill="1" applyBorder="1" applyAlignment="1">
      <alignment vertical="center" wrapText="1"/>
    </xf>
    <xf numFmtId="0" fontId="15" fillId="4" borderId="1" xfId="0" applyFont="1" applyFill="1" applyBorder="1" applyAlignment="1">
      <alignment horizontal="center" vertical="center" wrapText="1"/>
    </xf>
    <xf numFmtId="0" fontId="7" fillId="2" borderId="1" xfId="0" applyFont="1" applyFill="1" applyBorder="1" applyAlignment="1">
      <alignment vertical="center" wrapText="1"/>
    </xf>
    <xf numFmtId="0" fontId="14" fillId="0" borderId="0" xfId="0" applyFont="1"/>
    <xf numFmtId="0" fontId="9" fillId="0" borderId="1" xfId="0" applyFont="1" applyBorder="1"/>
    <xf numFmtId="1" fontId="8" fillId="3" borderId="1" xfId="0" applyNumberFormat="1" applyFont="1" applyFill="1" applyBorder="1" applyAlignment="1">
      <alignment horizontal="center"/>
    </xf>
    <xf numFmtId="0" fontId="8" fillId="0" borderId="1" xfId="0" applyFont="1" applyBorder="1"/>
    <xf numFmtId="176" fontId="8" fillId="3" borderId="1" xfId="0" applyNumberFormat="1" applyFont="1" applyFill="1" applyBorder="1" applyAlignment="1">
      <alignment horizontal="center"/>
    </xf>
    <xf numFmtId="0" fontId="16" fillId="0" borderId="0" xfId="0" applyFont="1"/>
    <xf numFmtId="0" fontId="8" fillId="3" borderId="1" xfId="0" applyFont="1" applyFill="1" applyBorder="1"/>
    <xf numFmtId="177" fontId="8" fillId="3" borderId="1" xfId="0" applyNumberFormat="1" applyFont="1" applyFill="1" applyBorder="1"/>
    <xf numFmtId="0" fontId="6" fillId="0" borderId="1" xfId="0" applyFont="1" applyBorder="1"/>
    <xf numFmtId="176" fontId="8" fillId="3" borderId="1" xfId="0" applyNumberFormat="1" applyFont="1" applyFill="1" applyBorder="1" applyAlignment="1">
      <alignment vertical="center" wrapText="1"/>
    </xf>
    <xf numFmtId="0" fontId="8" fillId="0" borderId="1" xfId="0" applyFont="1" applyBorder="1" applyAlignment="1">
      <alignment vertical="top" wrapText="1"/>
    </xf>
    <xf numFmtId="0" fontId="6" fillId="0" borderId="1" xfId="0" applyFont="1" applyBorder="1" applyAlignment="1">
      <alignment vertical="top" wrapText="1"/>
    </xf>
    <xf numFmtId="0" fontId="9" fillId="0" borderId="1" xfId="0" applyFont="1" applyBorder="1" applyAlignment="1">
      <alignment vertical="top" wrapText="1"/>
    </xf>
    <xf numFmtId="0" fontId="17" fillId="0" borderId="0" xfId="0" applyFont="1"/>
    <xf numFmtId="0" fontId="18" fillId="5" borderId="2" xfId="0" applyFont="1" applyFill="1" applyBorder="1" applyAlignment="1">
      <alignment horizontal="center" vertical="center" wrapText="1"/>
    </xf>
    <xf numFmtId="0" fontId="17" fillId="0" borderId="2" xfId="0" applyFont="1" applyBorder="1" applyAlignment="1">
      <alignment horizontal="center" vertical="center"/>
    </xf>
    <xf numFmtId="0" fontId="19" fillId="0" borderId="2" xfId="0" applyFont="1" applyBorder="1" applyAlignment="1">
      <alignment horizontal="left" vertical="center"/>
    </xf>
    <xf numFmtId="0" fontId="19" fillId="6" borderId="2" xfId="0" applyFont="1" applyFill="1" applyBorder="1" applyAlignment="1">
      <alignment horizontal="center" vertical="center"/>
    </xf>
    <xf numFmtId="0" fontId="20" fillId="6" borderId="2" xfId="0" applyFont="1" applyFill="1" applyBorder="1" applyAlignment="1">
      <alignment horizontal="center" vertical="center"/>
    </xf>
    <xf numFmtId="0" fontId="19" fillId="0" borderId="1" xfId="0" applyFont="1" applyBorder="1" applyAlignment="1">
      <alignment vertical="top" wrapText="1"/>
    </xf>
    <xf numFmtId="0" fontId="19" fillId="0" borderId="2" xfId="0" applyFont="1" applyBorder="1" applyAlignment="1">
      <alignment horizontal="center" vertical="center" wrapText="1"/>
    </xf>
    <xf numFmtId="0" fontId="19" fillId="0" borderId="2" xfId="0" applyFont="1" applyBorder="1" applyAlignment="1">
      <alignment horizontal="left" vertical="center" wrapText="1"/>
    </xf>
    <xf numFmtId="0" fontId="19" fillId="6" borderId="2" xfId="0" applyFont="1" applyFill="1" applyBorder="1" applyAlignment="1">
      <alignment horizontal="left" vertical="center" wrapText="1"/>
    </xf>
    <xf numFmtId="0" fontId="20" fillId="0" borderId="0" xfId="0" applyFont="1" applyAlignment="1">
      <alignment vertical="top" wrapText="1"/>
    </xf>
    <xf numFmtId="0" fontId="22" fillId="2" borderId="1" xfId="0" applyFont="1" applyFill="1" applyBorder="1" applyAlignment="1">
      <alignment vertical="center" wrapText="1"/>
    </xf>
    <xf numFmtId="0" fontId="19" fillId="0" borderId="2" xfId="0" applyFont="1" applyBorder="1" applyAlignment="1">
      <alignment vertical="top" wrapText="1"/>
    </xf>
    <xf numFmtId="0" fontId="23" fillId="0" borderId="0" xfId="0" applyFont="1" applyAlignment="1">
      <alignment vertical="top" wrapText="1"/>
    </xf>
    <xf numFmtId="0" fontId="19" fillId="6" borderId="2" xfId="0" applyFont="1" applyFill="1" applyBorder="1" applyAlignment="1">
      <alignment horizontal="center" vertical="center" wrapText="1"/>
    </xf>
    <xf numFmtId="0" fontId="20" fillId="2" borderId="1" xfId="0" applyFont="1" applyFill="1" applyBorder="1" applyAlignment="1">
      <alignment vertical="center" wrapText="1"/>
    </xf>
    <xf numFmtId="0" fontId="24" fillId="0" borderId="2" xfId="0" applyFont="1" applyBorder="1" applyAlignment="1">
      <alignment horizontal="center" vertical="center"/>
    </xf>
    <xf numFmtId="0" fontId="22" fillId="7" borderId="2" xfId="0" applyFont="1" applyFill="1" applyBorder="1" applyAlignment="1">
      <alignment horizontal="center" vertical="center"/>
    </xf>
    <xf numFmtId="0" fontId="22" fillId="6" borderId="2" xfId="0" applyFont="1" applyFill="1" applyBorder="1" applyAlignment="1">
      <alignment horizontal="center" vertical="center"/>
    </xf>
    <xf numFmtId="0" fontId="25" fillId="0" borderId="0" xfId="0" applyFont="1"/>
    <xf numFmtId="0" fontId="26" fillId="5" borderId="2" xfId="0" applyFont="1" applyFill="1" applyBorder="1" applyAlignment="1">
      <alignment horizontal="center" vertical="center" wrapText="1"/>
    </xf>
    <xf numFmtId="0" fontId="22" fillId="0" borderId="2" xfId="0" applyFont="1" applyBorder="1" applyAlignment="1">
      <alignment horizontal="left" vertical="center"/>
    </xf>
    <xf numFmtId="0" fontId="22" fillId="0" borderId="2" xfId="0" applyFont="1" applyBorder="1" applyAlignment="1">
      <alignment horizontal="center" vertical="center"/>
    </xf>
    <xf numFmtId="0" fontId="22" fillId="0" borderId="2" xfId="0" applyFont="1" applyBorder="1" applyAlignment="1">
      <alignment horizontal="left" vertical="center" wrapText="1"/>
    </xf>
    <xf numFmtId="0" fontId="20" fillId="0" borderId="0" xfId="0" applyFont="1" applyAlignment="1">
      <alignment vertical="top" wrapText="1"/>
    </xf>
    <xf numFmtId="0" fontId="0" fillId="0" borderId="0" xfId="0"/>
    <xf numFmtId="0" fontId="21" fillId="0" borderId="0" xfId="0" applyFont="1" applyAlignment="1">
      <alignment vertical="top" wrapText="1"/>
    </xf>
    <xf numFmtId="0" fontId="7" fillId="2" borderId="2" xfId="0" applyFont="1" applyFill="1" applyBorder="1" applyAlignment="1">
      <alignment horizontal="center" vertical="center" wrapText="1"/>
    </xf>
    <xf numFmtId="0" fontId="30" fillId="2" borderId="2" xfId="0" applyFont="1" applyFill="1" applyBorder="1" applyAlignment="1">
      <alignment horizontal="center" vertical="center" wrapText="1"/>
    </xf>
    <xf numFmtId="0" fontId="32" fillId="2" borderId="2" xfId="0" applyFont="1" applyFill="1" applyBorder="1" applyAlignment="1">
      <alignment horizontal="center" vertical="center" wrapText="1"/>
    </xf>
    <xf numFmtId="0" fontId="8" fillId="0" borderId="0" xfId="0" applyFont="1" applyAlignment="1"/>
    <xf numFmtId="0" fontId="21" fillId="0" borderId="0" xfId="0" applyFont="1" applyAlignment="1">
      <alignment vertical="top"/>
    </xf>
    <xf numFmtId="0" fontId="4" fillId="0" borderId="0" xfId="0" applyFont="1" applyAlignment="1"/>
    <xf numFmtId="0" fontId="3" fillId="0" borderId="0" xfId="0" applyFont="1" applyAlignment="1"/>
    <xf numFmtId="0" fontId="35" fillId="0" borderId="1" xfId="0" applyFont="1" applyBorder="1" applyAlignment="1">
      <alignment vertical="center" wrapText="1"/>
    </xf>
    <xf numFmtId="56" fontId="8" fillId="0" borderId="1" xfId="0" applyNumberFormat="1" applyFont="1" applyBorder="1" applyAlignment="1">
      <alignment horizontal="center" vertical="center" wrapText="1"/>
    </xf>
    <xf numFmtId="0" fontId="1" fillId="0" borderId="1" xfId="0" applyFont="1" applyBorder="1" applyAlignment="1">
      <alignment vertical="center" wrapText="1"/>
    </xf>
    <xf numFmtId="0" fontId="20" fillId="0" borderId="0" xfId="0" applyFont="1" applyAlignment="1">
      <alignment vertical="top"/>
    </xf>
  </cellXfs>
  <cellStyles count="1">
    <cellStyle name="標準"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AEAE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41"/>
  <sheetViews>
    <sheetView zoomScaleNormal="100" workbookViewId="0"/>
  </sheetViews>
  <sheetFormatPr defaultColWidth="8.7109375" defaultRowHeight="15"/>
  <cols>
    <col min="1" max="1" width="3" customWidth="1"/>
    <col min="2" max="2" width="26" customWidth="1"/>
    <col min="3" max="3" width="44" customWidth="1"/>
    <col min="4" max="4" width="20" customWidth="1"/>
    <col min="5" max="6" width="14" customWidth="1"/>
    <col min="7" max="7" width="30" customWidth="1"/>
  </cols>
  <sheetData>
    <row r="2" spans="2:3" ht="21" customHeight="1">
      <c r="B2" s="1" t="s">
        <v>0</v>
      </c>
    </row>
    <row r="3" spans="2:3" ht="15" customHeight="1">
      <c r="B3" s="2" t="s">
        <v>1</v>
      </c>
    </row>
    <row r="5" spans="2:3" ht="15" customHeight="1">
      <c r="B5" s="3" t="s">
        <v>2</v>
      </c>
    </row>
    <row r="6" spans="2:3" ht="15" customHeight="1">
      <c r="B6" s="4" t="s">
        <v>3</v>
      </c>
      <c r="C6" s="59" t="s">
        <v>4</v>
      </c>
    </row>
    <row r="7" spans="2:3" ht="15" customHeight="1">
      <c r="B7" s="4" t="s">
        <v>5</v>
      </c>
      <c r="C7" s="5"/>
    </row>
    <row r="8" spans="2:3" ht="15" customHeight="1">
      <c r="B8" s="4" t="s">
        <v>6</v>
      </c>
      <c r="C8" s="5" t="s">
        <v>7</v>
      </c>
    </row>
    <row r="9" spans="2:3" ht="15" customHeight="1">
      <c r="B9" s="4" t="s">
        <v>8</v>
      </c>
      <c r="C9" s="5" t="s">
        <v>9</v>
      </c>
    </row>
    <row r="10" spans="2:3" ht="15" customHeight="1">
      <c r="B10" s="4" t="s">
        <v>10</v>
      </c>
      <c r="C10" s="5" t="s">
        <v>11</v>
      </c>
    </row>
    <row r="11" spans="2:3" ht="15" customHeight="1">
      <c r="B11" s="4" t="s">
        <v>12</v>
      </c>
      <c r="C11" s="5"/>
    </row>
    <row r="12" spans="2:3" ht="15" customHeight="1">
      <c r="B12" s="4" t="s">
        <v>13</v>
      </c>
      <c r="C12" s="5"/>
    </row>
    <row r="14" spans="2:3" ht="15" customHeight="1">
      <c r="B14" s="3" t="s">
        <v>14</v>
      </c>
    </row>
    <row r="15" spans="2:3" ht="15" customHeight="1">
      <c r="B15" s="6" t="s">
        <v>15</v>
      </c>
      <c r="C15" s="4" t="s">
        <v>16</v>
      </c>
    </row>
    <row r="16" spans="2:3" ht="15" customHeight="1">
      <c r="B16" s="7" t="s">
        <v>17</v>
      </c>
      <c r="C16" s="4" t="s">
        <v>18</v>
      </c>
    </row>
    <row r="17" spans="2:4" ht="15" customHeight="1">
      <c r="B17" s="4" t="s">
        <v>19</v>
      </c>
      <c r="C17" s="8" t="s">
        <v>20</v>
      </c>
    </row>
    <row r="19" spans="2:4" ht="15" customHeight="1">
      <c r="B19" s="3" t="s">
        <v>21</v>
      </c>
    </row>
    <row r="20" spans="2:4" ht="15" customHeight="1">
      <c r="B20" s="4" t="s">
        <v>22</v>
      </c>
    </row>
    <row r="21" spans="2:4" ht="15" customHeight="1">
      <c r="B21" s="4" t="s">
        <v>23</v>
      </c>
    </row>
    <row r="22" spans="2:4" ht="15" customHeight="1">
      <c r="B22" s="4" t="s">
        <v>24</v>
      </c>
    </row>
    <row r="23" spans="2:4" ht="15" customHeight="1">
      <c r="B23" s="4" t="s">
        <v>25</v>
      </c>
    </row>
    <row r="24" spans="2:4" ht="15" customHeight="1">
      <c r="B24" s="9" t="s">
        <v>26</v>
      </c>
    </row>
    <row r="25" spans="2:4" ht="15" customHeight="1">
      <c r="B25" s="4" t="s">
        <v>27</v>
      </c>
    </row>
    <row r="26" spans="2:4" ht="100.5" customHeight="1">
      <c r="B26" s="9" t="s">
        <v>28</v>
      </c>
    </row>
    <row r="27" spans="2:4" ht="44.1" customHeight="1">
      <c r="B27" s="68" t="s">
        <v>29</v>
      </c>
      <c r="C27" s="69"/>
      <c r="D27" s="69"/>
    </row>
    <row r="28" spans="2:4" ht="15" customHeight="1">
      <c r="B28" s="3" t="s">
        <v>30</v>
      </c>
    </row>
    <row r="29" spans="2:4" ht="29.25" customHeight="1">
      <c r="B29" s="10" t="s">
        <v>31</v>
      </c>
      <c r="C29" s="10" t="s">
        <v>32</v>
      </c>
      <c r="D29" s="10" t="s">
        <v>33</v>
      </c>
    </row>
    <row r="30" spans="2:4" ht="29.25" customHeight="1">
      <c r="B30" s="11" t="s">
        <v>34</v>
      </c>
      <c r="C30" s="11" t="s">
        <v>35</v>
      </c>
      <c r="D30" s="11" t="s">
        <v>36</v>
      </c>
    </row>
    <row r="31" spans="2:4" ht="15" customHeight="1">
      <c r="B31" s="11" t="s">
        <v>37</v>
      </c>
      <c r="C31" s="12" t="s">
        <v>38</v>
      </c>
      <c r="D31" s="11" t="s">
        <v>36</v>
      </c>
    </row>
    <row r="32" spans="2:4" ht="29.25" customHeight="1">
      <c r="B32" s="11" t="s">
        <v>39</v>
      </c>
      <c r="C32" s="11" t="s">
        <v>40</v>
      </c>
      <c r="D32" s="11" t="s">
        <v>36</v>
      </c>
    </row>
    <row r="33" spans="2:4" ht="15" customHeight="1">
      <c r="B33" s="12" t="s">
        <v>41</v>
      </c>
      <c r="C33" s="12" t="s">
        <v>42</v>
      </c>
      <c r="D33" s="11" t="s">
        <v>36</v>
      </c>
    </row>
    <row r="34" spans="2:4" ht="29.25" customHeight="1">
      <c r="B34" s="11" t="s">
        <v>43</v>
      </c>
      <c r="C34" s="12" t="s">
        <v>44</v>
      </c>
      <c r="D34" s="11" t="s">
        <v>36</v>
      </c>
    </row>
    <row r="35" spans="2:4" ht="29.25" customHeight="1">
      <c r="B35" s="12" t="s">
        <v>45</v>
      </c>
      <c r="C35" s="12" t="s">
        <v>46</v>
      </c>
      <c r="D35" s="11" t="s">
        <v>36</v>
      </c>
    </row>
    <row r="36" spans="2:4" ht="15" customHeight="1">
      <c r="B36" s="11" t="s">
        <v>47</v>
      </c>
      <c r="C36" s="11" t="s">
        <v>48</v>
      </c>
      <c r="D36" s="11" t="s">
        <v>36</v>
      </c>
    </row>
    <row r="37" spans="2:4" ht="15" customHeight="1">
      <c r="B37" s="11" t="s">
        <v>49</v>
      </c>
      <c r="C37" s="11" t="s">
        <v>50</v>
      </c>
      <c r="D37" s="11" t="s">
        <v>36</v>
      </c>
    </row>
    <row r="38" spans="2:4" ht="15" customHeight="1">
      <c r="B38" s="11" t="s">
        <v>51</v>
      </c>
      <c r="C38" s="12" t="s">
        <v>52</v>
      </c>
      <c r="D38" s="11" t="s">
        <v>36</v>
      </c>
    </row>
    <row r="39" spans="2:4" ht="15" customHeight="1">
      <c r="B39" s="11" t="s">
        <v>53</v>
      </c>
      <c r="C39" s="11" t="s">
        <v>54</v>
      </c>
      <c r="D39" s="11" t="s">
        <v>36</v>
      </c>
    </row>
    <row r="40" spans="2:4" ht="15" customHeight="1">
      <c r="B40" s="11" t="s">
        <v>55</v>
      </c>
      <c r="C40" s="11" t="s">
        <v>56</v>
      </c>
      <c r="D40" s="11" t="s">
        <v>36</v>
      </c>
    </row>
    <row r="41" spans="2:4">
      <c r="B41" s="11" t="s">
        <v>57</v>
      </c>
      <c r="C41" s="11" t="s">
        <v>58</v>
      </c>
      <c r="D41" s="11" t="s">
        <v>59</v>
      </c>
    </row>
  </sheetData>
  <mergeCells count="1">
    <mergeCell ref="B27:D27"/>
  </mergeCells>
  <phoneticPr fontId="27"/>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0"/>
  <sheetViews>
    <sheetView zoomScaleNormal="100" workbookViewId="0">
      <selection activeCell="N9" sqref="N9"/>
    </sheetView>
  </sheetViews>
  <sheetFormatPr defaultColWidth="8.7109375" defaultRowHeight="15"/>
  <cols>
    <col min="1" max="1" width="7" customWidth="1"/>
    <col min="2" max="2" width="20" customWidth="1"/>
    <col min="3" max="3" width="34" customWidth="1"/>
    <col min="4" max="4" width="16" customWidth="1"/>
    <col min="5" max="5" width="26" customWidth="1"/>
    <col min="6" max="6" width="7" customWidth="1"/>
    <col min="7" max="7" width="12" customWidth="1"/>
    <col min="8" max="8" width="9" customWidth="1"/>
    <col min="9" max="9" width="26" customWidth="1"/>
  </cols>
  <sheetData>
    <row r="1" spans="1:9" ht="21" customHeight="1">
      <c r="A1" s="1" t="s">
        <v>60</v>
      </c>
    </row>
    <row r="2" spans="1:9" ht="13.5" customHeight="1">
      <c r="A2" s="13" t="s">
        <v>61</v>
      </c>
    </row>
    <row r="4" spans="1:9" ht="30" customHeight="1">
      <c r="A4" s="14" t="s">
        <v>62</v>
      </c>
      <c r="B4" s="15" t="s">
        <v>63</v>
      </c>
      <c r="C4" s="15" t="s">
        <v>64</v>
      </c>
      <c r="D4" s="15" t="s">
        <v>65</v>
      </c>
      <c r="E4" s="15" t="s">
        <v>66</v>
      </c>
      <c r="F4" s="15" t="s">
        <v>67</v>
      </c>
      <c r="G4" s="15" t="s">
        <v>68</v>
      </c>
      <c r="H4" s="15" t="s">
        <v>69</v>
      </c>
      <c r="I4" s="15" t="s">
        <v>70</v>
      </c>
    </row>
    <row r="5" spans="1:9" ht="30" customHeight="1">
      <c r="A5" s="16" t="s">
        <v>71</v>
      </c>
      <c r="B5" s="11" t="s">
        <v>72</v>
      </c>
      <c r="C5" s="11" t="s">
        <v>73</v>
      </c>
      <c r="D5" s="17" t="s">
        <v>74</v>
      </c>
      <c r="E5" s="11" t="s">
        <v>75</v>
      </c>
      <c r="F5" s="16" t="s">
        <v>76</v>
      </c>
      <c r="G5" s="71"/>
      <c r="H5" s="71" t="s">
        <v>182</v>
      </c>
      <c r="I5" s="71"/>
    </row>
    <row r="6" spans="1:9" ht="45.75" customHeight="1">
      <c r="A6" s="16" t="s">
        <v>77</v>
      </c>
      <c r="B6" s="11" t="s">
        <v>78</v>
      </c>
      <c r="C6" s="12" t="s">
        <v>79</v>
      </c>
      <c r="D6" s="16" t="s">
        <v>80</v>
      </c>
      <c r="E6" s="11" t="s">
        <v>81</v>
      </c>
      <c r="F6" s="16" t="s">
        <v>82</v>
      </c>
      <c r="G6" s="71"/>
      <c r="H6" s="71" t="s">
        <v>182</v>
      </c>
      <c r="I6" s="71"/>
    </row>
    <row r="7" spans="1:9" ht="45.75" customHeight="1">
      <c r="A7" s="16" t="s">
        <v>83</v>
      </c>
      <c r="B7" s="11" t="s">
        <v>78</v>
      </c>
      <c r="C7" s="11" t="s">
        <v>84</v>
      </c>
      <c r="D7" s="16" t="s">
        <v>85</v>
      </c>
      <c r="E7" s="11" t="s">
        <v>84</v>
      </c>
      <c r="F7" s="16" t="s">
        <v>82</v>
      </c>
      <c r="G7" s="71"/>
      <c r="H7" s="71" t="s">
        <v>182</v>
      </c>
      <c r="I7" s="71"/>
    </row>
    <row r="8" spans="1:9" ht="45.75" customHeight="1">
      <c r="A8" s="16" t="s">
        <v>86</v>
      </c>
      <c r="B8" s="11" t="s">
        <v>78</v>
      </c>
      <c r="C8" s="11" t="s">
        <v>84</v>
      </c>
      <c r="D8" s="16" t="s">
        <v>87</v>
      </c>
      <c r="E8" s="11" t="s">
        <v>84</v>
      </c>
      <c r="F8" s="16" t="s">
        <v>82</v>
      </c>
      <c r="G8" s="71"/>
      <c r="H8" s="71" t="s">
        <v>182</v>
      </c>
      <c r="I8" s="71"/>
    </row>
    <row r="9" spans="1:9" ht="30" customHeight="1">
      <c r="A9" s="16" t="s">
        <v>88</v>
      </c>
      <c r="B9" s="11" t="s">
        <v>89</v>
      </c>
      <c r="C9" s="12" t="s">
        <v>90</v>
      </c>
      <c r="D9" s="16" t="s">
        <v>91</v>
      </c>
      <c r="E9" s="12" t="s">
        <v>92</v>
      </c>
      <c r="F9" s="16" t="s">
        <v>93</v>
      </c>
      <c r="G9" s="71" t="s">
        <v>759</v>
      </c>
      <c r="H9" s="71" t="s">
        <v>182</v>
      </c>
      <c r="I9" s="71"/>
    </row>
    <row r="10" spans="1:9" ht="30" customHeight="1">
      <c r="A10" s="16" t="s">
        <v>94</v>
      </c>
      <c r="B10" s="11" t="s">
        <v>95</v>
      </c>
      <c r="C10" s="11" t="s">
        <v>96</v>
      </c>
      <c r="D10" s="16" t="s">
        <v>97</v>
      </c>
      <c r="E10" s="11" t="s">
        <v>98</v>
      </c>
      <c r="F10" s="16" t="s">
        <v>76</v>
      </c>
      <c r="G10" s="71"/>
      <c r="H10" s="71" t="s">
        <v>182</v>
      </c>
      <c r="I10" s="71"/>
    </row>
    <row r="11" spans="1:9" ht="45.75" customHeight="1">
      <c r="A11" s="16" t="s">
        <v>99</v>
      </c>
      <c r="B11" s="12" t="s">
        <v>100</v>
      </c>
      <c r="C11" s="12" t="s">
        <v>101</v>
      </c>
      <c r="D11" s="16" t="s">
        <v>102</v>
      </c>
      <c r="E11" s="12" t="s">
        <v>103</v>
      </c>
      <c r="F11" s="16" t="s">
        <v>104</v>
      </c>
      <c r="G11" s="71" t="s">
        <v>760</v>
      </c>
      <c r="H11" s="71" t="s">
        <v>182</v>
      </c>
      <c r="I11" s="71"/>
    </row>
    <row r="12" spans="1:9" ht="45.75" customHeight="1">
      <c r="A12" s="16" t="s">
        <v>105</v>
      </c>
      <c r="B12" s="11" t="s">
        <v>106</v>
      </c>
      <c r="C12" s="11" t="s">
        <v>84</v>
      </c>
      <c r="D12" s="16" t="s">
        <v>107</v>
      </c>
      <c r="E12" s="12" t="s">
        <v>108</v>
      </c>
      <c r="F12" s="16" t="s">
        <v>76</v>
      </c>
      <c r="G12" s="71" t="s">
        <v>761</v>
      </c>
      <c r="H12" s="71" t="s">
        <v>182</v>
      </c>
      <c r="I12" s="71"/>
    </row>
    <row r="13" spans="1:9" ht="45.75" customHeight="1">
      <c r="A13" s="16" t="s">
        <v>109</v>
      </c>
      <c r="B13" s="12" t="s">
        <v>110</v>
      </c>
      <c r="C13" s="11" t="s">
        <v>84</v>
      </c>
      <c r="D13" s="16" t="s">
        <v>111</v>
      </c>
      <c r="E13" s="12" t="s">
        <v>112</v>
      </c>
      <c r="F13" s="16" t="s">
        <v>82</v>
      </c>
      <c r="G13" s="71"/>
      <c r="H13" s="71" t="s">
        <v>762</v>
      </c>
      <c r="I13" s="72" t="s">
        <v>763</v>
      </c>
    </row>
    <row r="14" spans="1:9" ht="30" customHeight="1">
      <c r="A14" s="16" t="s">
        <v>113</v>
      </c>
      <c r="B14" s="12" t="s">
        <v>114</v>
      </c>
      <c r="C14" s="11" t="s">
        <v>115</v>
      </c>
      <c r="D14" s="16" t="s">
        <v>116</v>
      </c>
      <c r="E14" s="12" t="s">
        <v>117</v>
      </c>
      <c r="F14" s="16" t="s">
        <v>76</v>
      </c>
      <c r="G14" s="71"/>
      <c r="H14" s="71" t="s">
        <v>762</v>
      </c>
      <c r="I14" s="72" t="s">
        <v>763</v>
      </c>
    </row>
    <row r="15" spans="1:9" ht="30" customHeight="1">
      <c r="A15" s="16" t="s">
        <v>118</v>
      </c>
      <c r="B15" s="12" t="s">
        <v>119</v>
      </c>
      <c r="C15" s="12" t="s">
        <v>101</v>
      </c>
      <c r="D15" s="16" t="s">
        <v>120</v>
      </c>
      <c r="E15" s="12" t="s">
        <v>121</v>
      </c>
      <c r="F15" s="16" t="s">
        <v>104</v>
      </c>
      <c r="G15" s="71" t="s">
        <v>764</v>
      </c>
      <c r="H15" s="71" t="s">
        <v>182</v>
      </c>
      <c r="I15" s="71"/>
    </row>
    <row r="17" spans="1:1" ht="409.6" customHeight="1">
      <c r="A17" s="19" t="s">
        <v>122</v>
      </c>
    </row>
    <row r="18" spans="1:1" ht="189" customHeight="1">
      <c r="A18" s="19" t="s">
        <v>123</v>
      </c>
    </row>
    <row r="19" spans="1:1" ht="409.6" customHeight="1">
      <c r="A19" s="20" t="s">
        <v>124</v>
      </c>
    </row>
    <row r="20" spans="1:1" ht="227.25" customHeight="1">
      <c r="A20" s="20" t="s">
        <v>125</v>
      </c>
    </row>
  </sheetData>
  <phoneticPr fontId="27"/>
  <dataValidations count="1">
    <dataValidation type="list" allowBlank="1" sqref="H5:H15" xr:uid="{FF2270B9-D02C-41DC-80B8-08D4EFA9CE42}">
      <formula1>"OK,NG,未実施"</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7"/>
  <sheetViews>
    <sheetView zoomScaleNormal="100" workbookViewId="0">
      <selection activeCell="L14" sqref="L14"/>
    </sheetView>
  </sheetViews>
  <sheetFormatPr defaultColWidth="8.7109375" defaultRowHeight="15"/>
  <cols>
    <col min="1" max="1" width="7" customWidth="1"/>
    <col min="2" max="2" width="20" customWidth="1"/>
    <col min="3" max="3" width="34" customWidth="1"/>
    <col min="4" max="4" width="16" customWidth="1"/>
    <col min="5" max="5" width="26" customWidth="1"/>
    <col min="6" max="6" width="7" customWidth="1"/>
    <col min="7" max="7" width="12" customWidth="1"/>
    <col min="8" max="8" width="9" customWidth="1"/>
    <col min="9" max="9" width="26" customWidth="1"/>
  </cols>
  <sheetData>
    <row r="1" spans="1:9" ht="21" customHeight="1">
      <c r="A1" s="1" t="s">
        <v>126</v>
      </c>
    </row>
    <row r="2" spans="1:9" ht="27.75" customHeight="1">
      <c r="A2" s="20" t="s">
        <v>127</v>
      </c>
    </row>
    <row r="4" spans="1:9" ht="30" customHeight="1">
      <c r="A4" s="14" t="s">
        <v>62</v>
      </c>
      <c r="B4" s="15" t="s">
        <v>63</v>
      </c>
      <c r="C4" s="15" t="s">
        <v>64</v>
      </c>
      <c r="D4" s="15" t="s">
        <v>65</v>
      </c>
      <c r="E4" s="15" t="s">
        <v>66</v>
      </c>
      <c r="F4" s="15" t="s">
        <v>67</v>
      </c>
      <c r="G4" s="15" t="s">
        <v>68</v>
      </c>
      <c r="H4" s="15" t="s">
        <v>69</v>
      </c>
      <c r="I4" s="15" t="s">
        <v>70</v>
      </c>
    </row>
    <row r="5" spans="1:9" ht="39.75" customHeight="1">
      <c r="A5" s="16" t="s">
        <v>128</v>
      </c>
      <c r="B5" s="12" t="s">
        <v>129</v>
      </c>
      <c r="C5" s="11" t="s">
        <v>130</v>
      </c>
      <c r="D5" s="16" t="s">
        <v>131</v>
      </c>
      <c r="E5" s="12" t="s">
        <v>132</v>
      </c>
      <c r="F5" s="16" t="s">
        <v>93</v>
      </c>
      <c r="G5" s="71">
        <v>19.7</v>
      </c>
      <c r="H5" s="71" t="s">
        <v>182</v>
      </c>
      <c r="I5" s="18"/>
    </row>
    <row r="6" spans="1:9" ht="39.75" customHeight="1">
      <c r="A6" s="16" t="s">
        <v>133</v>
      </c>
      <c r="B6" s="12" t="s">
        <v>134</v>
      </c>
      <c r="C6" s="11" t="s">
        <v>135</v>
      </c>
      <c r="D6" s="16" t="s">
        <v>131</v>
      </c>
      <c r="E6" s="12" t="s">
        <v>136</v>
      </c>
      <c r="F6" s="16" t="s">
        <v>93</v>
      </c>
      <c r="G6" s="71">
        <v>17.95</v>
      </c>
      <c r="H6" s="71" t="s">
        <v>182</v>
      </c>
      <c r="I6" s="18"/>
    </row>
    <row r="7" spans="1:9" ht="39.75" customHeight="1">
      <c r="A7" s="16" t="s">
        <v>137</v>
      </c>
      <c r="B7" s="12" t="s">
        <v>138</v>
      </c>
      <c r="C7" s="11" t="s">
        <v>139</v>
      </c>
      <c r="D7" s="16" t="s">
        <v>131</v>
      </c>
      <c r="E7" s="12" t="s">
        <v>140</v>
      </c>
      <c r="F7" s="16" t="s">
        <v>93</v>
      </c>
      <c r="G7" s="71">
        <v>33.68</v>
      </c>
      <c r="H7" s="71" t="s">
        <v>182</v>
      </c>
      <c r="I7" s="18"/>
    </row>
    <row r="8" spans="1:9" ht="39.75" customHeight="1">
      <c r="A8" s="16" t="s">
        <v>141</v>
      </c>
      <c r="B8" s="12" t="s">
        <v>142</v>
      </c>
      <c r="C8" s="11" t="s">
        <v>143</v>
      </c>
      <c r="D8" s="16" t="s">
        <v>131</v>
      </c>
      <c r="E8" s="12" t="s">
        <v>144</v>
      </c>
      <c r="F8" s="16" t="s">
        <v>93</v>
      </c>
      <c r="G8" s="71">
        <v>30</v>
      </c>
      <c r="H8" s="71" t="s">
        <v>182</v>
      </c>
      <c r="I8" s="18"/>
    </row>
    <row r="9" spans="1:9" ht="30" customHeight="1">
      <c r="A9" s="16" t="s">
        <v>145</v>
      </c>
      <c r="B9" s="11" t="s">
        <v>146</v>
      </c>
      <c r="C9" s="11" t="s">
        <v>147</v>
      </c>
      <c r="D9" s="16" t="s">
        <v>131</v>
      </c>
      <c r="E9" s="11" t="s">
        <v>148</v>
      </c>
      <c r="F9" s="16" t="s">
        <v>76</v>
      </c>
      <c r="G9" s="71"/>
      <c r="H9" s="71" t="s">
        <v>182</v>
      </c>
      <c r="I9" s="18"/>
    </row>
    <row r="10" spans="1:9" ht="39.75" customHeight="1">
      <c r="A10" s="16" t="s">
        <v>149</v>
      </c>
      <c r="B10" s="12" t="s">
        <v>150</v>
      </c>
      <c r="C10" s="12" t="s">
        <v>151</v>
      </c>
      <c r="D10" s="16" t="s">
        <v>152</v>
      </c>
      <c r="E10" s="12" t="s">
        <v>153</v>
      </c>
      <c r="F10" s="16" t="s">
        <v>93</v>
      </c>
      <c r="G10" s="71" t="s">
        <v>765</v>
      </c>
      <c r="H10" s="71" t="s">
        <v>182</v>
      </c>
      <c r="I10" s="18"/>
    </row>
    <row r="11" spans="1:9" ht="39.75" customHeight="1">
      <c r="A11" s="16" t="s">
        <v>154</v>
      </c>
      <c r="B11" s="12" t="s">
        <v>155</v>
      </c>
      <c r="C11" s="12" t="s">
        <v>156</v>
      </c>
      <c r="D11" s="16" t="s">
        <v>157</v>
      </c>
      <c r="E11" s="11" t="s">
        <v>158</v>
      </c>
      <c r="F11" s="16" t="s">
        <v>76</v>
      </c>
      <c r="G11" s="71"/>
      <c r="H11" s="71" t="s">
        <v>182</v>
      </c>
      <c r="I11" s="18"/>
    </row>
    <row r="12" spans="1:9" ht="30" customHeight="1">
      <c r="A12" s="16" t="s">
        <v>159</v>
      </c>
      <c r="B12" s="11" t="s">
        <v>160</v>
      </c>
      <c r="C12" s="11" t="s">
        <v>161</v>
      </c>
      <c r="D12" s="17" t="s">
        <v>162</v>
      </c>
      <c r="E12" s="11" t="s">
        <v>163</v>
      </c>
      <c r="F12" s="16" t="s">
        <v>164</v>
      </c>
      <c r="G12" s="71">
        <v>0</v>
      </c>
      <c r="H12" s="71" t="s">
        <v>182</v>
      </c>
      <c r="I12" s="18"/>
    </row>
    <row r="14" spans="1:9" ht="163.5" customHeight="1">
      <c r="A14" s="19" t="s">
        <v>165</v>
      </c>
    </row>
    <row r="15" spans="1:9" ht="178.5" customHeight="1">
      <c r="A15" s="19" t="s">
        <v>166</v>
      </c>
    </row>
    <row r="16" spans="1:9" ht="343.5" customHeight="1">
      <c r="A16" s="19" t="s">
        <v>167</v>
      </c>
    </row>
    <row r="17" spans="1:1" ht="278.25" customHeight="1">
      <c r="A17" s="19" t="s">
        <v>168</v>
      </c>
    </row>
  </sheetData>
  <phoneticPr fontId="27"/>
  <dataValidations count="1">
    <dataValidation type="list" allowBlank="1" sqref="H5:H12" xr:uid="{F85A2189-D1B0-4BD0-9E32-28C75D9540FA}">
      <formula1>"OK,NG,未実施"</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7"/>
  <sheetViews>
    <sheetView tabSelected="1" zoomScaleNormal="100" workbookViewId="0">
      <selection activeCell="C6" sqref="C6"/>
    </sheetView>
  </sheetViews>
  <sheetFormatPr defaultColWidth="8.7109375" defaultRowHeight="15"/>
  <cols>
    <col min="1" max="1" width="7" customWidth="1"/>
    <col min="2" max="2" width="20" customWidth="1"/>
    <col min="3" max="3" width="34" customWidth="1"/>
    <col min="4" max="4" width="16" customWidth="1"/>
    <col min="5" max="5" width="26" customWidth="1"/>
    <col min="6" max="6" width="7" customWidth="1"/>
    <col min="7" max="7" width="12" customWidth="1"/>
    <col min="8" max="8" width="9" customWidth="1"/>
    <col min="9" max="9" width="26" customWidth="1"/>
  </cols>
  <sheetData>
    <row r="1" spans="1:9" ht="21" customHeight="1">
      <c r="A1" s="1" t="s">
        <v>169</v>
      </c>
    </row>
    <row r="2" spans="1:9" ht="13.5" customHeight="1">
      <c r="A2" s="81" t="s">
        <v>170</v>
      </c>
    </row>
    <row r="4" spans="1:9" ht="30" customHeight="1">
      <c r="A4" s="14" t="s">
        <v>62</v>
      </c>
      <c r="B4" s="15" t="s">
        <v>63</v>
      </c>
      <c r="C4" s="15" t="s">
        <v>64</v>
      </c>
      <c r="D4" s="15" t="s">
        <v>65</v>
      </c>
      <c r="E4" s="15" t="s">
        <v>66</v>
      </c>
      <c r="F4" s="15" t="s">
        <v>67</v>
      </c>
      <c r="G4" s="15" t="s">
        <v>68</v>
      </c>
      <c r="H4" s="15" t="s">
        <v>69</v>
      </c>
      <c r="I4" s="15" t="s">
        <v>70</v>
      </c>
    </row>
    <row r="5" spans="1:9" ht="30" customHeight="1">
      <c r="A5" s="16" t="s">
        <v>171</v>
      </c>
      <c r="B5" s="12" t="s">
        <v>172</v>
      </c>
      <c r="C5" s="11" t="s">
        <v>173</v>
      </c>
      <c r="D5" s="16" t="s">
        <v>174</v>
      </c>
      <c r="E5" s="11" t="s">
        <v>175</v>
      </c>
      <c r="F5" s="16" t="s">
        <v>176</v>
      </c>
      <c r="G5" s="71" t="s">
        <v>766</v>
      </c>
      <c r="H5" s="71" t="s">
        <v>182</v>
      </c>
      <c r="I5" s="18"/>
    </row>
    <row r="6" spans="1:9" ht="30" customHeight="1">
      <c r="A6" s="16" t="s">
        <v>177</v>
      </c>
      <c r="B6" s="78" t="s">
        <v>787</v>
      </c>
      <c r="C6" s="11" t="s">
        <v>178</v>
      </c>
      <c r="D6" s="16" t="s">
        <v>179</v>
      </c>
      <c r="E6" s="12" t="s">
        <v>180</v>
      </c>
      <c r="F6" s="16" t="s">
        <v>181</v>
      </c>
      <c r="G6" s="18">
        <v>75.400000000000006</v>
      </c>
      <c r="H6" s="18" t="s">
        <v>182</v>
      </c>
      <c r="I6" s="55" t="s">
        <v>183</v>
      </c>
    </row>
    <row r="7" spans="1:9" ht="30" customHeight="1">
      <c r="A7" s="16" t="s">
        <v>184</v>
      </c>
      <c r="B7" s="80" t="s">
        <v>788</v>
      </c>
      <c r="C7" s="11" t="s">
        <v>185</v>
      </c>
      <c r="D7" s="16" t="s">
        <v>131</v>
      </c>
      <c r="E7" s="12" t="s">
        <v>186</v>
      </c>
      <c r="F7" s="16" t="s">
        <v>181</v>
      </c>
      <c r="G7" s="18">
        <v>61.3</v>
      </c>
      <c r="H7" s="18" t="s">
        <v>182</v>
      </c>
      <c r="I7" s="55" t="s">
        <v>187</v>
      </c>
    </row>
    <row r="8" spans="1:9" ht="30" customHeight="1">
      <c r="A8" s="16" t="s">
        <v>188</v>
      </c>
      <c r="B8" s="11" t="s">
        <v>189</v>
      </c>
      <c r="C8" s="11" t="s">
        <v>190</v>
      </c>
      <c r="D8" s="17" t="s">
        <v>191</v>
      </c>
      <c r="E8" s="12" t="s">
        <v>192</v>
      </c>
      <c r="F8" s="16" t="s">
        <v>193</v>
      </c>
      <c r="G8" s="18">
        <v>1.39</v>
      </c>
      <c r="H8" s="18" t="s">
        <v>182</v>
      </c>
      <c r="I8" s="55" t="s">
        <v>194</v>
      </c>
    </row>
    <row r="9" spans="1:9" ht="30" customHeight="1">
      <c r="A9" s="16" t="s">
        <v>195</v>
      </c>
      <c r="B9" s="12" t="s">
        <v>196</v>
      </c>
      <c r="C9" s="11" t="s">
        <v>197</v>
      </c>
      <c r="D9" s="16" t="s">
        <v>198</v>
      </c>
      <c r="E9" s="12" t="s">
        <v>199</v>
      </c>
      <c r="F9" s="16" t="s">
        <v>93</v>
      </c>
      <c r="G9" s="73" t="s">
        <v>767</v>
      </c>
      <c r="H9" s="18" t="s">
        <v>182</v>
      </c>
      <c r="I9" s="55" t="s">
        <v>200</v>
      </c>
    </row>
    <row r="11" spans="1:9" ht="15" customHeight="1">
      <c r="A11" s="21" t="s">
        <v>201</v>
      </c>
    </row>
    <row r="12" spans="1:9" ht="45" customHeight="1">
      <c r="A12" s="14" t="s">
        <v>172</v>
      </c>
      <c r="B12" s="14" t="s">
        <v>202</v>
      </c>
      <c r="C12" s="14" t="s">
        <v>203</v>
      </c>
      <c r="D12" s="15" t="s">
        <v>204</v>
      </c>
      <c r="E12" s="14" t="s">
        <v>205</v>
      </c>
      <c r="F12" s="15" t="s">
        <v>189</v>
      </c>
    </row>
    <row r="13" spans="1:9" ht="26.25" customHeight="1">
      <c r="A13" s="12" t="s">
        <v>206</v>
      </c>
      <c r="B13" s="11" t="s">
        <v>207</v>
      </c>
      <c r="C13" s="11" t="s">
        <v>207</v>
      </c>
      <c r="D13" s="12" t="s">
        <v>208</v>
      </c>
      <c r="E13" s="12" t="s">
        <v>209</v>
      </c>
      <c r="F13" s="12" t="s">
        <v>76</v>
      </c>
    </row>
    <row r="14" spans="1:9" ht="54.75" customHeight="1">
      <c r="A14" s="12" t="s">
        <v>210</v>
      </c>
      <c r="B14" s="12" t="s">
        <v>211</v>
      </c>
      <c r="C14" s="12" t="s">
        <v>212</v>
      </c>
      <c r="D14" s="12" t="s">
        <v>213</v>
      </c>
      <c r="E14" s="12" t="s">
        <v>214</v>
      </c>
      <c r="F14" s="12" t="s">
        <v>215</v>
      </c>
    </row>
    <row r="15" spans="1:9" ht="199.5" customHeight="1">
      <c r="A15" s="19" t="s">
        <v>216</v>
      </c>
    </row>
    <row r="16" spans="1:9" ht="242.25" customHeight="1">
      <c r="A16" s="20" t="s">
        <v>217</v>
      </c>
    </row>
    <row r="18" spans="1:8">
      <c r="A18" s="44" t="s">
        <v>218</v>
      </c>
    </row>
    <row r="19" spans="1:8" ht="15.95" customHeight="1">
      <c r="A19" s="45" t="s">
        <v>219</v>
      </c>
      <c r="B19" s="45" t="s">
        <v>220</v>
      </c>
      <c r="C19" s="45" t="s">
        <v>221</v>
      </c>
      <c r="D19" s="45" t="s">
        <v>222</v>
      </c>
      <c r="E19" s="45" t="s">
        <v>223</v>
      </c>
    </row>
    <row r="20" spans="1:8" ht="57.95" customHeight="1">
      <c r="A20" s="51" t="s">
        <v>224</v>
      </c>
      <c r="B20" s="52" t="s">
        <v>225</v>
      </c>
      <c r="C20" s="53" t="s">
        <v>226</v>
      </c>
      <c r="D20" s="53" t="s">
        <v>227</v>
      </c>
      <c r="E20" s="53" t="s">
        <v>228</v>
      </c>
    </row>
    <row r="21" spans="1:8" ht="57.95" customHeight="1">
      <c r="A21" s="51" t="s">
        <v>229</v>
      </c>
      <c r="B21" s="52" t="s">
        <v>230</v>
      </c>
      <c r="C21" s="53" t="s">
        <v>231</v>
      </c>
      <c r="D21" s="53" t="s">
        <v>232</v>
      </c>
      <c r="E21" s="53" t="s">
        <v>233</v>
      </c>
    </row>
    <row r="22" spans="1:8" ht="57.95" customHeight="1">
      <c r="A22" s="51" t="s">
        <v>234</v>
      </c>
      <c r="B22" s="52" t="s">
        <v>235</v>
      </c>
      <c r="C22" s="53" t="s">
        <v>236</v>
      </c>
      <c r="D22" s="53" t="s">
        <v>237</v>
      </c>
      <c r="E22" s="53" t="s">
        <v>238</v>
      </c>
    </row>
    <row r="24" spans="1:8" ht="30" customHeight="1">
      <c r="A24" s="70" t="s">
        <v>239</v>
      </c>
      <c r="B24" s="69"/>
      <c r="C24" s="69"/>
      <c r="D24" s="69"/>
      <c r="E24" s="69"/>
      <c r="F24" s="69"/>
    </row>
    <row r="25" spans="1:8" ht="30" customHeight="1">
      <c r="A25" s="70" t="s">
        <v>240</v>
      </c>
      <c r="B25" s="69"/>
      <c r="C25" s="69"/>
      <c r="D25" s="69"/>
      <c r="E25" s="69"/>
      <c r="F25" s="69"/>
    </row>
    <row r="26" spans="1:8" ht="30" customHeight="1">
      <c r="A26" s="70" t="s">
        <v>241</v>
      </c>
      <c r="B26" s="69"/>
      <c r="C26" s="69"/>
      <c r="D26" s="69"/>
      <c r="E26" s="69"/>
      <c r="F26" s="69"/>
    </row>
    <row r="27" spans="1:8" ht="30" customHeight="1">
      <c r="A27" s="70" t="s">
        <v>242</v>
      </c>
      <c r="B27" s="69"/>
      <c r="C27" s="69"/>
      <c r="D27" s="69"/>
      <c r="E27" s="69"/>
      <c r="F27" s="69"/>
    </row>
    <row r="28" spans="1:8" ht="30" customHeight="1">
      <c r="A28" s="70" t="s">
        <v>243</v>
      </c>
      <c r="B28" s="69"/>
      <c r="C28" s="69"/>
      <c r="D28" s="69"/>
      <c r="E28" s="69"/>
      <c r="F28" s="69"/>
    </row>
    <row r="29" spans="1:8" ht="30" customHeight="1">
      <c r="A29" s="70" t="s">
        <v>244</v>
      </c>
      <c r="B29" s="69"/>
      <c r="C29" s="69"/>
      <c r="D29" s="69"/>
      <c r="E29" s="69"/>
      <c r="F29" s="69"/>
    </row>
    <row r="31" spans="1:8" ht="140.25">
      <c r="A31" s="54" t="s">
        <v>245</v>
      </c>
    </row>
    <row r="32" spans="1:8" ht="42" customHeight="1">
      <c r="A32" s="70" t="s">
        <v>246</v>
      </c>
      <c r="B32" s="69"/>
      <c r="C32" s="69"/>
      <c r="D32" s="69"/>
      <c r="E32" s="69"/>
      <c r="F32" s="69"/>
      <c r="G32" s="69"/>
      <c r="H32" s="69"/>
    </row>
    <row r="33" spans="1:8" ht="42" customHeight="1">
      <c r="A33" s="70" t="s">
        <v>247</v>
      </c>
      <c r="B33" s="69"/>
      <c r="C33" s="69"/>
      <c r="D33" s="69"/>
      <c r="E33" s="69"/>
      <c r="F33" s="69"/>
      <c r="G33" s="69"/>
      <c r="H33" s="69"/>
    </row>
    <row r="34" spans="1:8" ht="42" customHeight="1">
      <c r="A34" s="70" t="s">
        <v>248</v>
      </c>
      <c r="B34" s="69"/>
      <c r="C34" s="69"/>
      <c r="D34" s="69"/>
      <c r="E34" s="69"/>
      <c r="F34" s="69"/>
      <c r="G34" s="69"/>
      <c r="H34" s="69"/>
    </row>
    <row r="35" spans="1:8" ht="42" customHeight="1">
      <c r="A35" s="70" t="s">
        <v>249</v>
      </c>
      <c r="B35" s="69"/>
      <c r="C35" s="69"/>
      <c r="D35" s="69"/>
      <c r="E35" s="69"/>
      <c r="F35" s="69"/>
      <c r="G35" s="69"/>
      <c r="H35" s="69"/>
    </row>
    <row r="36" spans="1:8" ht="42" customHeight="1">
      <c r="A36" s="70" t="s">
        <v>250</v>
      </c>
      <c r="B36" s="69"/>
      <c r="C36" s="69"/>
      <c r="D36" s="69"/>
      <c r="E36" s="69"/>
      <c r="F36" s="69"/>
      <c r="G36" s="69"/>
      <c r="H36" s="69"/>
    </row>
    <row r="37" spans="1:8" ht="42" customHeight="1">
      <c r="A37" s="70" t="s">
        <v>251</v>
      </c>
      <c r="B37" s="69"/>
      <c r="C37" s="69"/>
      <c r="D37" s="69"/>
      <c r="E37" s="69"/>
      <c r="F37" s="69"/>
      <c r="G37" s="69"/>
      <c r="H37" s="69"/>
    </row>
    <row r="38" spans="1:8" ht="42" customHeight="1">
      <c r="A38" s="70" t="s">
        <v>252</v>
      </c>
      <c r="B38" s="69"/>
      <c r="C38" s="69"/>
      <c r="D38" s="69"/>
      <c r="E38" s="69"/>
      <c r="F38" s="69"/>
      <c r="G38" s="69"/>
      <c r="H38" s="69"/>
    </row>
    <row r="39" spans="1:8" ht="42" customHeight="1">
      <c r="A39" s="70" t="s">
        <v>253</v>
      </c>
      <c r="B39" s="69"/>
      <c r="C39" s="69"/>
      <c r="D39" s="69"/>
      <c r="E39" s="69"/>
      <c r="F39" s="69"/>
      <c r="G39" s="69"/>
      <c r="H39" s="69"/>
    </row>
    <row r="41" spans="1:8" ht="140.25">
      <c r="A41" s="54" t="s">
        <v>254</v>
      </c>
    </row>
    <row r="42" spans="1:8" ht="42" customHeight="1">
      <c r="A42" s="70" t="s">
        <v>255</v>
      </c>
      <c r="B42" s="69"/>
      <c r="C42" s="69"/>
      <c r="D42" s="69"/>
      <c r="E42" s="69"/>
      <c r="F42" s="69"/>
      <c r="G42" s="69"/>
      <c r="H42" s="69"/>
    </row>
    <row r="43" spans="1:8" ht="42" customHeight="1">
      <c r="A43" s="70" t="s">
        <v>256</v>
      </c>
      <c r="B43" s="69"/>
      <c r="C43" s="69"/>
      <c r="D43" s="69"/>
      <c r="E43" s="69"/>
      <c r="F43" s="69"/>
      <c r="G43" s="69"/>
      <c r="H43" s="69"/>
    </row>
    <row r="44" spans="1:8" ht="42" customHeight="1">
      <c r="A44" s="70" t="s">
        <v>257</v>
      </c>
      <c r="B44" s="69"/>
      <c r="C44" s="69"/>
      <c r="D44" s="69"/>
      <c r="E44" s="69"/>
      <c r="F44" s="69"/>
      <c r="G44" s="69"/>
      <c r="H44" s="69"/>
    </row>
    <row r="45" spans="1:8" ht="42" customHeight="1">
      <c r="A45" s="70" t="s">
        <v>258</v>
      </c>
      <c r="B45" s="69"/>
      <c r="C45" s="69"/>
      <c r="D45" s="69"/>
      <c r="E45" s="69"/>
      <c r="F45" s="69"/>
      <c r="G45" s="69"/>
      <c r="H45" s="69"/>
    </row>
    <row r="46" spans="1:8" ht="42" customHeight="1">
      <c r="A46" s="70" t="s">
        <v>259</v>
      </c>
      <c r="B46" s="69"/>
      <c r="C46" s="69"/>
      <c r="D46" s="69"/>
      <c r="E46" s="69"/>
      <c r="F46" s="69"/>
      <c r="G46" s="69"/>
      <c r="H46" s="69"/>
    </row>
    <row r="47" spans="1:8" ht="42" customHeight="1">
      <c r="A47" s="70" t="s">
        <v>260</v>
      </c>
      <c r="B47" s="69"/>
      <c r="C47" s="69"/>
      <c r="D47" s="69"/>
      <c r="E47" s="69"/>
      <c r="F47" s="69"/>
      <c r="G47" s="69"/>
      <c r="H47" s="69"/>
    </row>
    <row r="48" spans="1:8" ht="42" customHeight="1">
      <c r="A48" s="70" t="s">
        <v>261</v>
      </c>
      <c r="B48" s="69"/>
      <c r="C48" s="69"/>
      <c r="D48" s="69"/>
      <c r="E48" s="69"/>
      <c r="F48" s="69"/>
      <c r="G48" s="69"/>
      <c r="H48" s="69"/>
    </row>
    <row r="49" spans="1:8" ht="42" customHeight="1">
      <c r="A49" s="70" t="s">
        <v>262</v>
      </c>
      <c r="B49" s="69"/>
      <c r="C49" s="69"/>
      <c r="D49" s="69"/>
      <c r="E49" s="69"/>
      <c r="F49" s="69"/>
      <c r="G49" s="69"/>
      <c r="H49" s="69"/>
    </row>
    <row r="51" spans="1:8" ht="127.5">
      <c r="A51" s="57" t="s">
        <v>263</v>
      </c>
    </row>
    <row r="52" spans="1:8">
      <c r="A52" s="45" t="s">
        <v>219</v>
      </c>
      <c r="B52" s="45" t="s">
        <v>264</v>
      </c>
      <c r="C52" s="45" t="s">
        <v>265</v>
      </c>
      <c r="D52" s="45" t="s">
        <v>70</v>
      </c>
    </row>
    <row r="53" spans="1:8" ht="30" customHeight="1">
      <c r="A53" s="51" t="s">
        <v>266</v>
      </c>
      <c r="B53" s="58" t="s">
        <v>267</v>
      </c>
      <c r="C53" s="58" t="s">
        <v>268</v>
      </c>
      <c r="D53" s="52" t="s">
        <v>269</v>
      </c>
    </row>
    <row r="54" spans="1:8" ht="30" customHeight="1">
      <c r="A54" s="51" t="s">
        <v>270</v>
      </c>
      <c r="B54" s="58" t="s">
        <v>76</v>
      </c>
      <c r="C54" s="58" t="s">
        <v>271</v>
      </c>
      <c r="D54" s="52" t="s">
        <v>272</v>
      </c>
    </row>
    <row r="55" spans="1:8" ht="30" customHeight="1">
      <c r="A55" s="51" t="s">
        <v>273</v>
      </c>
      <c r="B55" s="58" t="s">
        <v>274</v>
      </c>
      <c r="C55" s="58" t="s">
        <v>275</v>
      </c>
      <c r="D55" s="52" t="s">
        <v>276</v>
      </c>
    </row>
    <row r="56" spans="1:8" ht="30" customHeight="1">
      <c r="A56" s="51" t="s">
        <v>277</v>
      </c>
      <c r="B56" s="58" t="s">
        <v>278</v>
      </c>
      <c r="C56" s="58" t="s">
        <v>279</v>
      </c>
      <c r="D56" s="52" t="s">
        <v>280</v>
      </c>
    </row>
    <row r="57" spans="1:8" ht="30" customHeight="1">
      <c r="A57" s="51" t="s">
        <v>281</v>
      </c>
      <c r="B57" s="58" t="s">
        <v>274</v>
      </c>
      <c r="C57" s="58" t="s">
        <v>282</v>
      </c>
      <c r="D57" s="52" t="s">
        <v>283</v>
      </c>
    </row>
    <row r="59" spans="1:8" ht="36" customHeight="1">
      <c r="A59" s="70" t="s">
        <v>284</v>
      </c>
      <c r="B59" s="69"/>
      <c r="C59" s="69"/>
      <c r="D59" s="69"/>
      <c r="E59" s="69"/>
      <c r="F59" s="69"/>
      <c r="G59" s="69"/>
      <c r="H59" s="69"/>
    </row>
    <row r="60" spans="1:8" ht="36" customHeight="1">
      <c r="A60" s="70" t="s">
        <v>285</v>
      </c>
      <c r="B60" s="69"/>
      <c r="C60" s="69"/>
      <c r="D60" s="69"/>
      <c r="E60" s="69"/>
      <c r="F60" s="69"/>
      <c r="G60" s="69"/>
      <c r="H60" s="69"/>
    </row>
    <row r="61" spans="1:8" ht="36" customHeight="1">
      <c r="A61" s="70" t="s">
        <v>286</v>
      </c>
      <c r="B61" s="69"/>
      <c r="C61" s="69"/>
      <c r="D61" s="69"/>
      <c r="E61" s="69"/>
      <c r="F61" s="69"/>
      <c r="G61" s="69"/>
      <c r="H61" s="69"/>
    </row>
    <row r="62" spans="1:8" ht="36" customHeight="1">
      <c r="A62" s="70" t="s">
        <v>287</v>
      </c>
      <c r="B62" s="69"/>
      <c r="C62" s="69"/>
      <c r="D62" s="69"/>
      <c r="E62" s="69"/>
      <c r="F62" s="69"/>
      <c r="G62" s="69"/>
      <c r="H62" s="69"/>
    </row>
    <row r="64" spans="1:8" ht="140.25">
      <c r="A64" s="57" t="s">
        <v>288</v>
      </c>
    </row>
    <row r="65" spans="1:8" ht="42" customHeight="1">
      <c r="A65" s="70" t="s">
        <v>289</v>
      </c>
      <c r="B65" s="69"/>
      <c r="C65" s="69"/>
      <c r="D65" s="69"/>
      <c r="E65" s="69"/>
      <c r="F65" s="69"/>
      <c r="G65" s="69"/>
      <c r="H65" s="69"/>
    </row>
    <row r="66" spans="1:8" ht="42" customHeight="1">
      <c r="A66" s="70" t="s">
        <v>290</v>
      </c>
      <c r="B66" s="69"/>
      <c r="C66" s="69"/>
      <c r="D66" s="69"/>
      <c r="E66" s="69"/>
      <c r="F66" s="69"/>
      <c r="G66" s="69"/>
      <c r="H66" s="69"/>
    </row>
    <row r="67" spans="1:8" ht="42" customHeight="1">
      <c r="A67" s="70" t="s">
        <v>291</v>
      </c>
      <c r="B67" s="69"/>
      <c r="C67" s="69"/>
      <c r="D67" s="69"/>
      <c r="E67" s="69"/>
      <c r="F67" s="69"/>
      <c r="G67" s="69"/>
      <c r="H67" s="69"/>
    </row>
  </sheetData>
  <mergeCells count="29">
    <mergeCell ref="A24:F24"/>
    <mergeCell ref="A62:H62"/>
    <mergeCell ref="A35:H35"/>
    <mergeCell ref="A43:H43"/>
    <mergeCell ref="A38:H38"/>
    <mergeCell ref="A44:H44"/>
    <mergeCell ref="A25:F25"/>
    <mergeCell ref="A34:H34"/>
    <mergeCell ref="A26:F26"/>
    <mergeCell ref="A61:H61"/>
    <mergeCell ref="A65:H65"/>
    <mergeCell ref="A66:H66"/>
    <mergeCell ref="A46:H46"/>
    <mergeCell ref="A37:H37"/>
    <mergeCell ref="A29:F29"/>
    <mergeCell ref="A28:F28"/>
    <mergeCell ref="A42:H42"/>
    <mergeCell ref="A33:H33"/>
    <mergeCell ref="A47:H47"/>
    <mergeCell ref="A32:H32"/>
    <mergeCell ref="A67:H67"/>
    <mergeCell ref="A48:H48"/>
    <mergeCell ref="A39:H39"/>
    <mergeCell ref="A59:H59"/>
    <mergeCell ref="A27:F27"/>
    <mergeCell ref="A60:H60"/>
    <mergeCell ref="A36:H36"/>
    <mergeCell ref="A49:H49"/>
    <mergeCell ref="A45:H45"/>
  </mergeCells>
  <phoneticPr fontId="27"/>
  <dataValidations count="1">
    <dataValidation type="list" allowBlank="1" sqref="H5:H9" xr:uid="{00000000-0002-0000-0300-000000000000}">
      <formula1>"OK,NG,未実施"</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1"/>
  <sheetViews>
    <sheetView zoomScaleNormal="100" workbookViewId="0">
      <selection activeCell="B10" sqref="B10"/>
    </sheetView>
  </sheetViews>
  <sheetFormatPr defaultColWidth="8.7109375" defaultRowHeight="15"/>
  <cols>
    <col min="1" max="1" width="7" customWidth="1"/>
    <col min="2" max="2" width="20" customWidth="1"/>
    <col min="3" max="3" width="34" customWidth="1"/>
    <col min="4" max="4" width="16" customWidth="1"/>
    <col min="5" max="5" width="26" customWidth="1"/>
    <col min="6" max="6" width="7" customWidth="1"/>
    <col min="7" max="7" width="12" customWidth="1"/>
    <col min="8" max="8" width="9" customWidth="1"/>
    <col min="9" max="9" width="26" customWidth="1"/>
  </cols>
  <sheetData>
    <row r="1" spans="1:9" ht="21" customHeight="1">
      <c r="A1" s="1" t="s">
        <v>292</v>
      </c>
    </row>
    <row r="2" spans="1:9" ht="13.5" customHeight="1">
      <c r="A2" s="13" t="s">
        <v>293</v>
      </c>
    </row>
    <row r="4" spans="1:9" ht="30" customHeight="1">
      <c r="A4" s="14" t="s">
        <v>62</v>
      </c>
      <c r="B4" s="15" t="s">
        <v>63</v>
      </c>
      <c r="C4" s="15" t="s">
        <v>64</v>
      </c>
      <c r="D4" s="15" t="s">
        <v>65</v>
      </c>
      <c r="E4" s="15" t="s">
        <v>66</v>
      </c>
      <c r="F4" s="15" t="s">
        <v>67</v>
      </c>
      <c r="G4" s="15" t="s">
        <v>68</v>
      </c>
      <c r="H4" s="15" t="s">
        <v>69</v>
      </c>
      <c r="I4" s="15" t="s">
        <v>70</v>
      </c>
    </row>
    <row r="5" spans="1:9" ht="30" customHeight="1">
      <c r="A5" s="16" t="s">
        <v>294</v>
      </c>
      <c r="B5" s="11" t="s">
        <v>295</v>
      </c>
      <c r="C5" s="11" t="s">
        <v>296</v>
      </c>
      <c r="D5" s="17" t="s">
        <v>297</v>
      </c>
      <c r="E5" s="11" t="s">
        <v>298</v>
      </c>
      <c r="F5" s="16" t="s">
        <v>299</v>
      </c>
      <c r="G5" s="18"/>
      <c r="H5" s="18"/>
      <c r="I5" s="18"/>
    </row>
    <row r="6" spans="1:9" ht="30" customHeight="1">
      <c r="A6" s="16" t="s">
        <v>300</v>
      </c>
      <c r="B6" s="11" t="s">
        <v>301</v>
      </c>
      <c r="C6" s="12" t="s">
        <v>302</v>
      </c>
      <c r="D6" s="16" t="s">
        <v>303</v>
      </c>
      <c r="E6" s="11" t="s">
        <v>304</v>
      </c>
      <c r="F6" s="16" t="s">
        <v>299</v>
      </c>
      <c r="G6" s="18"/>
      <c r="H6" s="18"/>
      <c r="I6" s="18"/>
    </row>
    <row r="7" spans="1:9" ht="30" customHeight="1">
      <c r="A7" s="16" t="s">
        <v>305</v>
      </c>
      <c r="B7" s="11" t="s">
        <v>306</v>
      </c>
      <c r="C7" s="11" t="s">
        <v>307</v>
      </c>
      <c r="D7" s="16" t="s">
        <v>308</v>
      </c>
      <c r="E7" s="11" t="s">
        <v>309</v>
      </c>
      <c r="F7" s="16" t="s">
        <v>299</v>
      </c>
      <c r="G7" s="18"/>
      <c r="H7" s="18"/>
      <c r="I7" s="18"/>
    </row>
    <row r="8" spans="1:9" ht="30" customHeight="1">
      <c r="A8" s="16" t="s">
        <v>310</v>
      </c>
      <c r="B8" s="11" t="s">
        <v>311</v>
      </c>
      <c r="C8" s="11" t="s">
        <v>312</v>
      </c>
      <c r="D8" s="16" t="s">
        <v>303</v>
      </c>
      <c r="E8" s="11" t="s">
        <v>313</v>
      </c>
      <c r="F8" s="16" t="s">
        <v>299</v>
      </c>
      <c r="G8" s="18"/>
      <c r="H8" s="18"/>
      <c r="I8" s="18"/>
    </row>
    <row r="9" spans="1:9" ht="30" customHeight="1">
      <c r="A9" s="16" t="s">
        <v>314</v>
      </c>
      <c r="B9" s="11" t="s">
        <v>315</v>
      </c>
      <c r="C9" s="11" t="s">
        <v>84</v>
      </c>
      <c r="D9" s="16" t="s">
        <v>308</v>
      </c>
      <c r="E9" s="11" t="s">
        <v>313</v>
      </c>
      <c r="F9" s="16" t="s">
        <v>299</v>
      </c>
      <c r="G9" s="18"/>
      <c r="H9" s="18"/>
      <c r="I9" s="18"/>
    </row>
    <row r="10" spans="1:9" ht="30" customHeight="1">
      <c r="A10" s="16" t="s">
        <v>316</v>
      </c>
      <c r="B10" s="11" t="s">
        <v>317</v>
      </c>
      <c r="C10" s="11" t="s">
        <v>318</v>
      </c>
      <c r="D10" s="17" t="s">
        <v>191</v>
      </c>
      <c r="E10" s="12" t="s">
        <v>319</v>
      </c>
      <c r="F10" s="16" t="s">
        <v>193</v>
      </c>
      <c r="G10" s="18"/>
      <c r="H10" s="18"/>
      <c r="I10" s="18"/>
    </row>
    <row r="11" spans="1:9" ht="30" customHeight="1">
      <c r="A11" s="16" t="s">
        <v>320</v>
      </c>
      <c r="B11" s="11" t="s">
        <v>321</v>
      </c>
      <c r="C11" s="12" t="s">
        <v>322</v>
      </c>
      <c r="D11" s="16" t="s">
        <v>131</v>
      </c>
      <c r="E11" s="11" t="s">
        <v>313</v>
      </c>
      <c r="F11" s="17" t="s">
        <v>323</v>
      </c>
      <c r="G11" s="18"/>
      <c r="H11" s="18"/>
      <c r="I11" s="18"/>
    </row>
    <row r="12" spans="1:9" ht="51.75" customHeight="1">
      <c r="A12" s="16" t="s">
        <v>324</v>
      </c>
      <c r="B12" s="12" t="s">
        <v>325</v>
      </c>
      <c r="C12" s="11" t="s">
        <v>326</v>
      </c>
      <c r="D12" s="16" t="s">
        <v>327</v>
      </c>
      <c r="E12" s="11" t="s">
        <v>328</v>
      </c>
      <c r="F12" s="16" t="s">
        <v>299</v>
      </c>
      <c r="G12" s="18"/>
      <c r="H12" s="18"/>
      <c r="I12" s="18"/>
    </row>
    <row r="13" spans="1:9" ht="30" customHeight="1">
      <c r="A13" s="16" t="s">
        <v>329</v>
      </c>
      <c r="B13" s="11" t="s">
        <v>330</v>
      </c>
      <c r="C13" s="11" t="s">
        <v>84</v>
      </c>
      <c r="D13" s="16" t="s">
        <v>308</v>
      </c>
      <c r="E13" s="11" t="s">
        <v>331</v>
      </c>
      <c r="F13" s="16" t="s">
        <v>299</v>
      </c>
      <c r="G13" s="18"/>
      <c r="H13" s="18"/>
      <c r="I13" s="18"/>
    </row>
    <row r="14" spans="1:9" ht="30" customHeight="1">
      <c r="A14" s="16" t="s">
        <v>332</v>
      </c>
      <c r="B14" s="12" t="s">
        <v>333</v>
      </c>
      <c r="C14" s="11" t="s">
        <v>84</v>
      </c>
      <c r="D14" s="16" t="s">
        <v>334</v>
      </c>
      <c r="E14" s="11" t="s">
        <v>335</v>
      </c>
      <c r="F14" s="16" t="s">
        <v>299</v>
      </c>
      <c r="G14" s="18"/>
      <c r="H14" s="18"/>
      <c r="I14" s="18"/>
    </row>
    <row r="16" spans="1:9" ht="15" customHeight="1">
      <c r="A16" s="3" t="s">
        <v>336</v>
      </c>
    </row>
    <row r="17" spans="1:5" ht="16.5" customHeight="1">
      <c r="A17" s="15" t="s">
        <v>63</v>
      </c>
      <c r="B17" s="15" t="s">
        <v>337</v>
      </c>
      <c r="C17" s="15" t="s">
        <v>338</v>
      </c>
      <c r="D17" s="15" t="s">
        <v>339</v>
      </c>
      <c r="E17" s="15" t="s">
        <v>69</v>
      </c>
    </row>
    <row r="18" spans="1:5" ht="54.75" customHeight="1">
      <c r="A18" s="12" t="s">
        <v>340</v>
      </c>
      <c r="B18" s="12" t="s">
        <v>341</v>
      </c>
      <c r="C18" s="22" t="str">
        <f>IF(COUNT(G8,G9)=2,G8-G9,"")</f>
        <v/>
      </c>
      <c r="D18" s="12" t="s">
        <v>342</v>
      </c>
      <c r="E18" s="11"/>
    </row>
    <row r="19" spans="1:5" ht="69" customHeight="1">
      <c r="A19" s="12" t="s">
        <v>343</v>
      </c>
      <c r="B19" s="12" t="s">
        <v>344</v>
      </c>
      <c r="C19" s="22" t="str">
        <f>IF(COUNT(G12,G13)=2,G12-G13,"")</f>
        <v/>
      </c>
      <c r="D19" s="11" t="s">
        <v>345</v>
      </c>
      <c r="E19" s="11"/>
    </row>
    <row r="21" spans="1:5" ht="15" customHeight="1">
      <c r="A21" s="21" t="s">
        <v>346</v>
      </c>
    </row>
    <row r="22" spans="1:5" ht="32.25" customHeight="1">
      <c r="A22" s="15" t="s">
        <v>347</v>
      </c>
      <c r="B22" s="14" t="s">
        <v>348</v>
      </c>
      <c r="C22" s="15" t="s">
        <v>349</v>
      </c>
      <c r="D22" s="15" t="s">
        <v>70</v>
      </c>
    </row>
    <row r="23" spans="1:5" ht="86.25" customHeight="1">
      <c r="A23" s="11" t="s">
        <v>350</v>
      </c>
      <c r="B23" s="12" t="s">
        <v>351</v>
      </c>
      <c r="C23" s="11" t="s">
        <v>352</v>
      </c>
      <c r="D23" s="11" t="s">
        <v>353</v>
      </c>
    </row>
    <row r="24" spans="1:5" ht="86.25" customHeight="1">
      <c r="A24" s="11" t="s">
        <v>354</v>
      </c>
      <c r="B24" s="12" t="s">
        <v>355</v>
      </c>
      <c r="C24" s="11" t="s">
        <v>356</v>
      </c>
      <c r="D24" s="11" t="s">
        <v>357</v>
      </c>
    </row>
    <row r="25" spans="1:5" ht="57.75" customHeight="1">
      <c r="A25" s="11" t="s">
        <v>358</v>
      </c>
      <c r="B25" s="12" t="s">
        <v>359</v>
      </c>
      <c r="C25" s="11" t="s">
        <v>360</v>
      </c>
      <c r="D25" s="11" t="s">
        <v>361</v>
      </c>
    </row>
    <row r="26" spans="1:5" ht="43.5" customHeight="1">
      <c r="A26" s="11" t="s">
        <v>362</v>
      </c>
      <c r="B26" s="12" t="s">
        <v>363</v>
      </c>
      <c r="C26" s="11" t="s">
        <v>364</v>
      </c>
      <c r="D26" s="12" t="s">
        <v>365</v>
      </c>
    </row>
    <row r="27" spans="1:5" ht="282" customHeight="1">
      <c r="A27" s="19" t="s">
        <v>366</v>
      </c>
    </row>
    <row r="28" spans="1:5" ht="280.5" customHeight="1">
      <c r="A28" s="20" t="s">
        <v>367</v>
      </c>
    </row>
    <row r="29" spans="1:5" ht="204" customHeight="1">
      <c r="A29" s="20" t="s">
        <v>368</v>
      </c>
    </row>
    <row r="30" spans="1:5" ht="392.25" customHeight="1">
      <c r="A30" s="20" t="s">
        <v>369</v>
      </c>
    </row>
    <row r="31" spans="1:5" ht="153" customHeight="1">
      <c r="A31" s="19" t="s">
        <v>370</v>
      </c>
    </row>
  </sheetData>
  <phoneticPr fontId="27"/>
  <dataValidations count="1">
    <dataValidation type="list" allowBlank="1" sqref="H5:H14" xr:uid="{00000000-0002-0000-0400-000000000000}">
      <formula1>"OK,NG,未実施"</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3"/>
  <sheetViews>
    <sheetView zoomScaleNormal="100" workbookViewId="0">
      <selection activeCell="L10" sqref="L10"/>
    </sheetView>
  </sheetViews>
  <sheetFormatPr defaultColWidth="8.7109375" defaultRowHeight="15"/>
  <cols>
    <col min="1" max="1" width="7" customWidth="1"/>
    <col min="2" max="2" width="20" customWidth="1"/>
    <col min="3" max="3" width="34" customWidth="1"/>
    <col min="4" max="4" width="16" customWidth="1"/>
    <col min="5" max="5" width="26" customWidth="1"/>
    <col min="6" max="6" width="7" customWidth="1"/>
    <col min="7" max="7" width="12" customWidth="1"/>
    <col min="8" max="8" width="9" customWidth="1"/>
    <col min="9" max="9" width="26" customWidth="1"/>
  </cols>
  <sheetData>
    <row r="1" spans="1:9" ht="21" customHeight="1">
      <c r="A1" s="1" t="s">
        <v>371</v>
      </c>
    </row>
    <row r="2" spans="1:9" ht="27.75" customHeight="1">
      <c r="A2" s="23" t="s">
        <v>372</v>
      </c>
    </row>
    <row r="4" spans="1:9" ht="30" customHeight="1">
      <c r="A4" s="14" t="s">
        <v>62</v>
      </c>
      <c r="B4" s="15" t="s">
        <v>63</v>
      </c>
      <c r="C4" s="15" t="s">
        <v>64</v>
      </c>
      <c r="D4" s="15" t="s">
        <v>65</v>
      </c>
      <c r="E4" s="15" t="s">
        <v>66</v>
      </c>
      <c r="F4" s="15" t="s">
        <v>67</v>
      </c>
      <c r="G4" s="15" t="s">
        <v>68</v>
      </c>
      <c r="H4" s="15" t="s">
        <v>69</v>
      </c>
      <c r="I4" s="15" t="s">
        <v>70</v>
      </c>
    </row>
    <row r="5" spans="1:9" ht="31.5" customHeight="1">
      <c r="A5" s="16" t="s">
        <v>373</v>
      </c>
      <c r="B5" s="24" t="s">
        <v>374</v>
      </c>
      <c r="C5" s="24" t="s">
        <v>375</v>
      </c>
      <c r="D5" s="16" t="s">
        <v>131</v>
      </c>
      <c r="E5" s="12" t="s">
        <v>376</v>
      </c>
      <c r="F5" s="16" t="s">
        <v>76</v>
      </c>
      <c r="G5" s="71"/>
      <c r="H5" s="71" t="s">
        <v>182</v>
      </c>
      <c r="I5" s="18"/>
    </row>
    <row r="6" spans="1:9" ht="31.5" customHeight="1">
      <c r="A6" s="16" t="s">
        <v>377</v>
      </c>
      <c r="B6" s="24" t="s">
        <v>378</v>
      </c>
      <c r="C6" s="24" t="s">
        <v>379</v>
      </c>
      <c r="D6" s="16" t="s">
        <v>152</v>
      </c>
      <c r="E6" s="12" t="s">
        <v>380</v>
      </c>
      <c r="F6" s="16" t="s">
        <v>93</v>
      </c>
      <c r="G6" s="71" t="s">
        <v>768</v>
      </c>
      <c r="H6" s="71" t="s">
        <v>182</v>
      </c>
      <c r="I6" s="18"/>
    </row>
    <row r="7" spans="1:9" ht="31.5" customHeight="1">
      <c r="A7" s="16" t="s">
        <v>381</v>
      </c>
      <c r="B7" s="24" t="s">
        <v>382</v>
      </c>
      <c r="C7" s="24" t="s">
        <v>383</v>
      </c>
      <c r="D7" s="16" t="s">
        <v>131</v>
      </c>
      <c r="E7" s="12" t="s">
        <v>384</v>
      </c>
      <c r="F7" s="16" t="s">
        <v>76</v>
      </c>
      <c r="G7" s="71"/>
      <c r="H7" s="71" t="s">
        <v>182</v>
      </c>
      <c r="I7" s="18"/>
    </row>
    <row r="8" spans="1:9" ht="31.5" customHeight="1">
      <c r="A8" s="16" t="s">
        <v>385</v>
      </c>
      <c r="B8" s="24" t="s">
        <v>386</v>
      </c>
      <c r="C8" s="24" t="s">
        <v>387</v>
      </c>
      <c r="D8" s="16" t="s">
        <v>152</v>
      </c>
      <c r="E8" s="12" t="s">
        <v>388</v>
      </c>
      <c r="F8" s="16" t="s">
        <v>93</v>
      </c>
      <c r="G8" s="71" t="s">
        <v>769</v>
      </c>
      <c r="H8" s="71" t="s">
        <v>182</v>
      </c>
      <c r="I8" s="18"/>
    </row>
    <row r="9" spans="1:9" ht="31.5" customHeight="1">
      <c r="A9" s="16" t="s">
        <v>389</v>
      </c>
      <c r="B9" s="24" t="s">
        <v>390</v>
      </c>
      <c r="C9" s="24" t="s">
        <v>391</v>
      </c>
      <c r="D9" s="16" t="s">
        <v>392</v>
      </c>
      <c r="E9" s="24" t="s">
        <v>393</v>
      </c>
      <c r="F9" s="16" t="s">
        <v>299</v>
      </c>
      <c r="G9" s="71" t="s">
        <v>770</v>
      </c>
      <c r="H9" s="71" t="s">
        <v>182</v>
      </c>
      <c r="I9" s="18"/>
    </row>
    <row r="10" spans="1:9" ht="31.5" customHeight="1">
      <c r="A10" s="16" t="s">
        <v>394</v>
      </c>
      <c r="B10" s="24" t="s">
        <v>395</v>
      </c>
      <c r="C10" s="12" t="s">
        <v>396</v>
      </c>
      <c r="D10" s="16" t="s">
        <v>152</v>
      </c>
      <c r="E10" s="12" t="s">
        <v>397</v>
      </c>
      <c r="F10" s="16" t="s">
        <v>93</v>
      </c>
      <c r="G10" s="71" t="s">
        <v>771</v>
      </c>
      <c r="H10" s="71" t="s">
        <v>182</v>
      </c>
      <c r="I10" s="18"/>
    </row>
    <row r="11" spans="1:9" ht="31.5" customHeight="1">
      <c r="A11" s="16" t="s">
        <v>398</v>
      </c>
      <c r="B11" s="24" t="s">
        <v>399</v>
      </c>
      <c r="C11" s="12" t="s">
        <v>400</v>
      </c>
      <c r="D11" s="16" t="s">
        <v>401</v>
      </c>
      <c r="E11" s="24" t="s">
        <v>402</v>
      </c>
      <c r="F11" s="16" t="s">
        <v>93</v>
      </c>
      <c r="G11" s="18"/>
      <c r="H11" s="18"/>
      <c r="I11" s="18"/>
    </row>
    <row r="12" spans="1:9" ht="31.5" customHeight="1">
      <c r="A12" s="16" t="s">
        <v>403</v>
      </c>
      <c r="B12" s="24" t="s">
        <v>404</v>
      </c>
      <c r="C12" s="24" t="s">
        <v>405</v>
      </c>
      <c r="D12" s="16" t="s">
        <v>131</v>
      </c>
      <c r="E12" s="24" t="s">
        <v>406</v>
      </c>
      <c r="F12" s="16" t="s">
        <v>76</v>
      </c>
      <c r="G12" s="18"/>
      <c r="H12" s="18"/>
      <c r="I12" s="18"/>
    </row>
    <row r="13" spans="1:9" ht="31.5" customHeight="1">
      <c r="A13" s="16" t="s">
        <v>407</v>
      </c>
      <c r="B13" s="12" t="s">
        <v>408</v>
      </c>
      <c r="C13" s="24" t="s">
        <v>409</v>
      </c>
      <c r="D13" s="16" t="s">
        <v>131</v>
      </c>
      <c r="E13" s="24" t="s">
        <v>410</v>
      </c>
      <c r="F13" s="16" t="s">
        <v>193</v>
      </c>
      <c r="G13" s="18"/>
      <c r="H13" s="18"/>
      <c r="I13" s="18"/>
    </row>
    <row r="14" spans="1:9" ht="204" customHeight="1">
      <c r="A14" s="25"/>
      <c r="B14" s="8"/>
      <c r="C14" s="8"/>
      <c r="D14" s="8"/>
      <c r="E14" s="8"/>
      <c r="F14" s="8"/>
      <c r="G14" s="8"/>
      <c r="H14" s="8"/>
      <c r="I14" s="8"/>
    </row>
    <row r="15" spans="1:9" ht="204" customHeight="1">
      <c r="A15" s="26" t="s">
        <v>411</v>
      </c>
      <c r="B15" s="8"/>
      <c r="C15" s="8"/>
      <c r="D15" s="8"/>
      <c r="E15" s="8"/>
      <c r="F15" s="8"/>
      <c r="G15" s="8"/>
      <c r="H15" s="8"/>
      <c r="I15" s="8"/>
    </row>
    <row r="16" spans="1:9" ht="15" customHeight="1">
      <c r="A16" s="27" t="s">
        <v>63</v>
      </c>
      <c r="B16" s="27" t="s">
        <v>337</v>
      </c>
      <c r="C16" s="27" t="s">
        <v>338</v>
      </c>
      <c r="D16" s="27" t="s">
        <v>412</v>
      </c>
      <c r="E16" s="8"/>
      <c r="F16" s="8"/>
      <c r="G16" s="8"/>
      <c r="H16" s="8"/>
      <c r="I16" s="8"/>
    </row>
    <row r="17" spans="1:4" ht="44.1" customHeight="1">
      <c r="A17" s="12" t="s">
        <v>413</v>
      </c>
      <c r="B17" s="12" t="s">
        <v>414</v>
      </c>
      <c r="C17" s="28" t="str">
        <f>IF(COUNT(G6,G8)=2,(G8-G6)*1000,"")</f>
        <v/>
      </c>
      <c r="D17" s="12" t="s">
        <v>415</v>
      </c>
    </row>
    <row r="19" spans="1:4" ht="409.6" customHeight="1">
      <c r="A19" s="19" t="s">
        <v>416</v>
      </c>
    </row>
    <row r="20" spans="1:4" ht="314.10000000000002" customHeight="1">
      <c r="A20" s="23" t="s">
        <v>417</v>
      </c>
    </row>
    <row r="21" spans="1:4" ht="291" customHeight="1">
      <c r="A21" s="23" t="s">
        <v>418</v>
      </c>
    </row>
    <row r="22" spans="1:4" ht="204.4" customHeight="1">
      <c r="A22" s="19" t="s">
        <v>419</v>
      </c>
    </row>
    <row r="23" spans="1:4" ht="204.4" customHeight="1">
      <c r="A23" s="23" t="s">
        <v>420</v>
      </c>
    </row>
  </sheetData>
  <phoneticPr fontId="27"/>
  <dataValidations count="1">
    <dataValidation type="list" allowBlank="1" sqref="H5:H13" xr:uid="{00000000-0002-0000-0500-000000000000}">
      <formula1>"OK,NG,未実施"</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4"/>
  <sheetViews>
    <sheetView zoomScaleNormal="100" workbookViewId="0">
      <selection activeCell="K12" sqref="K12"/>
    </sheetView>
  </sheetViews>
  <sheetFormatPr defaultColWidth="8.7109375" defaultRowHeight="15"/>
  <cols>
    <col min="1" max="1" width="7" customWidth="1"/>
    <col min="2" max="2" width="20" customWidth="1"/>
    <col min="3" max="3" width="34" customWidth="1"/>
    <col min="4" max="4" width="16" customWidth="1"/>
    <col min="5" max="5" width="26" customWidth="1"/>
    <col min="6" max="6" width="7" customWidth="1"/>
    <col min="7" max="7" width="12" customWidth="1"/>
    <col min="8" max="8" width="9" customWidth="1"/>
    <col min="9" max="9" width="26" customWidth="1"/>
  </cols>
  <sheetData>
    <row r="1" spans="1:9" ht="21" customHeight="1">
      <c r="A1" s="1" t="s">
        <v>421</v>
      </c>
    </row>
    <row r="2" spans="1:9" ht="13.5" customHeight="1">
      <c r="A2" s="2" t="s">
        <v>422</v>
      </c>
    </row>
    <row r="4" spans="1:9" ht="30" customHeight="1">
      <c r="A4" s="14" t="s">
        <v>62</v>
      </c>
      <c r="B4" s="15" t="s">
        <v>63</v>
      </c>
      <c r="C4" s="15" t="s">
        <v>64</v>
      </c>
      <c r="D4" s="15" t="s">
        <v>65</v>
      </c>
      <c r="E4" s="15" t="s">
        <v>66</v>
      </c>
      <c r="F4" s="15" t="s">
        <v>67</v>
      </c>
      <c r="G4" s="15" t="s">
        <v>68</v>
      </c>
      <c r="H4" s="15" t="s">
        <v>69</v>
      </c>
      <c r="I4" s="15" t="s">
        <v>70</v>
      </c>
    </row>
    <row r="5" spans="1:9" ht="30" customHeight="1">
      <c r="A5" s="16" t="s">
        <v>423</v>
      </c>
      <c r="B5" s="12" t="s">
        <v>424</v>
      </c>
      <c r="C5" s="12" t="s">
        <v>425</v>
      </c>
      <c r="D5" s="16" t="s">
        <v>426</v>
      </c>
      <c r="E5" s="12" t="s">
        <v>427</v>
      </c>
      <c r="F5" s="16" t="s">
        <v>93</v>
      </c>
      <c r="G5" s="71" t="s">
        <v>772</v>
      </c>
      <c r="H5" s="71" t="s">
        <v>182</v>
      </c>
      <c r="I5" s="18"/>
    </row>
    <row r="6" spans="1:9" ht="30" customHeight="1">
      <c r="A6" s="16" t="s">
        <v>428</v>
      </c>
      <c r="B6" s="11" t="s">
        <v>429</v>
      </c>
      <c r="C6" s="11" t="s">
        <v>84</v>
      </c>
      <c r="D6" s="16" t="s">
        <v>430</v>
      </c>
      <c r="E6" s="12" t="s">
        <v>431</v>
      </c>
      <c r="F6" s="16" t="s">
        <v>93</v>
      </c>
      <c r="G6" s="71" t="s">
        <v>773</v>
      </c>
      <c r="H6" s="71" t="s">
        <v>182</v>
      </c>
      <c r="I6" s="18"/>
    </row>
    <row r="7" spans="1:9" ht="30" customHeight="1">
      <c r="A7" s="16" t="s">
        <v>432</v>
      </c>
      <c r="B7" s="11" t="s">
        <v>433</v>
      </c>
      <c r="C7" s="11" t="s">
        <v>84</v>
      </c>
      <c r="D7" s="16" t="s">
        <v>434</v>
      </c>
      <c r="E7" s="12" t="s">
        <v>435</v>
      </c>
      <c r="F7" s="16" t="s">
        <v>93</v>
      </c>
      <c r="G7" s="71" t="s">
        <v>774</v>
      </c>
      <c r="H7" s="71" t="s">
        <v>182</v>
      </c>
      <c r="I7" s="18"/>
    </row>
    <row r="8" spans="1:9" ht="45.75" customHeight="1">
      <c r="A8" s="16" t="s">
        <v>436</v>
      </c>
      <c r="B8" s="12" t="s">
        <v>437</v>
      </c>
      <c r="C8" s="11" t="s">
        <v>438</v>
      </c>
      <c r="D8" s="16" t="s">
        <v>439</v>
      </c>
      <c r="E8" s="12" t="s">
        <v>440</v>
      </c>
      <c r="F8" s="16" t="s">
        <v>93</v>
      </c>
      <c r="G8" s="71" t="s">
        <v>775</v>
      </c>
      <c r="H8" s="71" t="s">
        <v>182</v>
      </c>
      <c r="I8" s="18"/>
    </row>
    <row r="9" spans="1:9" ht="45.75" customHeight="1">
      <c r="A9" s="16" t="s">
        <v>441</v>
      </c>
      <c r="B9" s="12" t="s">
        <v>442</v>
      </c>
      <c r="C9" s="11" t="s">
        <v>84</v>
      </c>
      <c r="D9" s="16" t="s">
        <v>443</v>
      </c>
      <c r="E9" s="12" t="s">
        <v>444</v>
      </c>
      <c r="F9" s="16" t="s">
        <v>93</v>
      </c>
      <c r="G9" s="71" t="s">
        <v>776</v>
      </c>
      <c r="H9" s="71" t="s">
        <v>182</v>
      </c>
      <c r="I9" s="18"/>
    </row>
    <row r="10" spans="1:9" ht="30" customHeight="1">
      <c r="A10" s="16" t="s">
        <v>445</v>
      </c>
      <c r="B10" s="12" t="s">
        <v>446</v>
      </c>
      <c r="C10" s="11" t="s">
        <v>84</v>
      </c>
      <c r="D10" s="16" t="s">
        <v>447</v>
      </c>
      <c r="E10" s="12" t="s">
        <v>448</v>
      </c>
      <c r="F10" s="16" t="s">
        <v>93</v>
      </c>
      <c r="G10" s="71" t="s">
        <v>777</v>
      </c>
      <c r="H10" s="71" t="s">
        <v>182</v>
      </c>
      <c r="I10" s="18"/>
    </row>
    <row r="11" spans="1:9" ht="30" customHeight="1">
      <c r="A11" s="16" t="s">
        <v>449</v>
      </c>
      <c r="B11" s="11" t="s">
        <v>450</v>
      </c>
      <c r="C11" s="11" t="s">
        <v>451</v>
      </c>
      <c r="D11" s="16" t="s">
        <v>131</v>
      </c>
      <c r="E11" s="12" t="s">
        <v>452</v>
      </c>
      <c r="F11" s="16" t="s">
        <v>93</v>
      </c>
      <c r="G11" s="71" t="s">
        <v>778</v>
      </c>
      <c r="H11" s="71" t="s">
        <v>182</v>
      </c>
      <c r="I11" s="18"/>
    </row>
    <row r="12" spans="1:9" ht="30" customHeight="1">
      <c r="A12" s="16" t="s">
        <v>453</v>
      </c>
      <c r="B12" s="11" t="s">
        <v>454</v>
      </c>
      <c r="C12" s="11" t="s">
        <v>455</v>
      </c>
      <c r="D12" s="16" t="s">
        <v>131</v>
      </c>
      <c r="E12" s="12" t="s">
        <v>456</v>
      </c>
      <c r="F12" s="16" t="s">
        <v>93</v>
      </c>
      <c r="G12" s="71" t="s">
        <v>779</v>
      </c>
      <c r="H12" s="71" t="s">
        <v>182</v>
      </c>
      <c r="I12" s="18"/>
    </row>
    <row r="13" spans="1:9" ht="30" customHeight="1">
      <c r="A13" s="16" t="s">
        <v>457</v>
      </c>
      <c r="B13" s="12" t="s">
        <v>458</v>
      </c>
      <c r="C13" s="11" t="s">
        <v>459</v>
      </c>
      <c r="D13" s="16" t="s">
        <v>439</v>
      </c>
      <c r="E13" s="12" t="s">
        <v>460</v>
      </c>
      <c r="F13" s="16" t="s">
        <v>93</v>
      </c>
      <c r="G13" s="71" t="s">
        <v>780</v>
      </c>
      <c r="H13" s="71" t="s">
        <v>182</v>
      </c>
      <c r="I13" s="18"/>
    </row>
    <row r="14" spans="1:9" ht="30" customHeight="1">
      <c r="A14" s="16" t="s">
        <v>461</v>
      </c>
      <c r="B14" s="12" t="s">
        <v>462</v>
      </c>
      <c r="C14" s="11" t="s">
        <v>84</v>
      </c>
      <c r="D14" s="16" t="s">
        <v>443</v>
      </c>
      <c r="E14" s="12" t="s">
        <v>463</v>
      </c>
      <c r="F14" s="16" t="s">
        <v>93</v>
      </c>
      <c r="G14" s="71" t="s">
        <v>781</v>
      </c>
      <c r="H14" s="71" t="s">
        <v>182</v>
      </c>
      <c r="I14" s="18"/>
    </row>
    <row r="15" spans="1:9" ht="30" customHeight="1">
      <c r="A15" s="16" t="s">
        <v>464</v>
      </c>
      <c r="B15" s="11" t="s">
        <v>465</v>
      </c>
      <c r="C15" s="12" t="s">
        <v>466</v>
      </c>
      <c r="D15" s="16" t="s">
        <v>467</v>
      </c>
      <c r="E15" s="12" t="s">
        <v>468</v>
      </c>
      <c r="F15" s="16" t="s">
        <v>193</v>
      </c>
      <c r="G15" s="71" t="s">
        <v>782</v>
      </c>
      <c r="H15" s="71" t="s">
        <v>182</v>
      </c>
      <c r="I15" s="18"/>
    </row>
    <row r="16" spans="1:9" ht="45.75" customHeight="1">
      <c r="A16" s="16" t="s">
        <v>469</v>
      </c>
      <c r="B16" s="12" t="s">
        <v>470</v>
      </c>
      <c r="C16" s="12" t="s">
        <v>471</v>
      </c>
      <c r="D16" s="16" t="s">
        <v>327</v>
      </c>
      <c r="E16" s="11" t="s">
        <v>472</v>
      </c>
      <c r="F16" s="16" t="s">
        <v>299</v>
      </c>
      <c r="G16" s="71"/>
      <c r="H16" s="71" t="s">
        <v>783</v>
      </c>
      <c r="I16" s="18"/>
    </row>
    <row r="18" spans="1:1" ht="204" customHeight="1">
      <c r="A18" s="19" t="s">
        <v>473</v>
      </c>
    </row>
    <row r="19" spans="1:1" ht="339" customHeight="1">
      <c r="A19" s="19" t="s">
        <v>474</v>
      </c>
    </row>
    <row r="20" spans="1:1" ht="341.25" customHeight="1">
      <c r="A20" s="19" t="s">
        <v>475</v>
      </c>
    </row>
    <row r="21" spans="1:1" ht="284.25" customHeight="1">
      <c r="A21" s="19" t="s">
        <v>476</v>
      </c>
    </row>
    <row r="22" spans="1:1" ht="409.6" customHeight="1">
      <c r="A22" s="19" t="s">
        <v>477</v>
      </c>
    </row>
    <row r="23" spans="1:1" ht="349.5" customHeight="1">
      <c r="A23" s="20" t="s">
        <v>478</v>
      </c>
    </row>
    <row r="24" spans="1:1" ht="336.75" customHeight="1">
      <c r="A24" s="19" t="s">
        <v>479</v>
      </c>
    </row>
  </sheetData>
  <phoneticPr fontId="27"/>
  <dataValidations count="1">
    <dataValidation type="list" allowBlank="1" sqref="H5:H16" xr:uid="{5DA0BF23-2B54-4B3E-81DF-5F60444F7D29}">
      <formula1>"OK,NG,未実施"</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8"/>
  <sheetViews>
    <sheetView zoomScaleNormal="100" workbookViewId="0"/>
  </sheetViews>
  <sheetFormatPr defaultColWidth="8.7109375" defaultRowHeight="15"/>
  <cols>
    <col min="1" max="1" width="7" customWidth="1"/>
    <col min="2" max="2" width="20" customWidth="1"/>
    <col min="3" max="3" width="34" customWidth="1"/>
    <col min="4" max="4" width="16" customWidth="1"/>
    <col min="5" max="5" width="26" customWidth="1"/>
    <col min="6" max="6" width="7" customWidth="1"/>
    <col min="7" max="7" width="12" customWidth="1"/>
    <col min="8" max="8" width="9" customWidth="1"/>
    <col min="9" max="9" width="26" customWidth="1"/>
  </cols>
  <sheetData>
    <row r="1" spans="1:9" ht="21" customHeight="1">
      <c r="A1" s="1" t="s">
        <v>480</v>
      </c>
    </row>
    <row r="2" spans="1:9" ht="13.5" customHeight="1">
      <c r="A2" s="20" t="s">
        <v>481</v>
      </c>
    </row>
    <row r="4" spans="1:9" ht="30" customHeight="1">
      <c r="A4" s="14" t="s">
        <v>62</v>
      </c>
      <c r="B4" s="15" t="s">
        <v>63</v>
      </c>
      <c r="C4" s="15" t="s">
        <v>64</v>
      </c>
      <c r="D4" s="15" t="s">
        <v>65</v>
      </c>
      <c r="E4" s="15" t="s">
        <v>66</v>
      </c>
      <c r="F4" s="15" t="s">
        <v>67</v>
      </c>
      <c r="G4" s="15" t="s">
        <v>68</v>
      </c>
      <c r="H4" s="15" t="s">
        <v>69</v>
      </c>
      <c r="I4" s="15" t="s">
        <v>70</v>
      </c>
    </row>
    <row r="5" spans="1:9" ht="30" customHeight="1">
      <c r="A5" s="16" t="s">
        <v>482</v>
      </c>
      <c r="B5" s="11" t="s">
        <v>483</v>
      </c>
      <c r="C5" s="11" t="s">
        <v>484</v>
      </c>
      <c r="D5" s="16" t="s">
        <v>401</v>
      </c>
      <c r="E5" s="12" t="s">
        <v>485</v>
      </c>
      <c r="F5" s="16" t="s">
        <v>486</v>
      </c>
      <c r="G5" s="18"/>
      <c r="H5" s="18"/>
      <c r="I5" s="18"/>
    </row>
    <row r="6" spans="1:9" ht="30" customHeight="1">
      <c r="A6" s="16" t="s">
        <v>487</v>
      </c>
      <c r="B6" s="12" t="s">
        <v>488</v>
      </c>
      <c r="C6" s="11" t="s">
        <v>489</v>
      </c>
      <c r="D6" s="16" t="s">
        <v>490</v>
      </c>
      <c r="E6" s="12" t="s">
        <v>491</v>
      </c>
      <c r="F6" s="16" t="s">
        <v>76</v>
      </c>
      <c r="G6" s="18"/>
      <c r="H6" s="18"/>
      <c r="I6" s="18"/>
    </row>
    <row r="7" spans="1:9" ht="30" customHeight="1">
      <c r="A7" s="16" t="s">
        <v>492</v>
      </c>
      <c r="B7" s="11" t="s">
        <v>493</v>
      </c>
      <c r="C7" s="12" t="s">
        <v>494</v>
      </c>
      <c r="D7" s="16" t="s">
        <v>495</v>
      </c>
      <c r="E7" s="12" t="s">
        <v>496</v>
      </c>
      <c r="F7" s="16" t="s">
        <v>486</v>
      </c>
      <c r="G7" s="18"/>
      <c r="H7" s="18"/>
      <c r="I7" s="18"/>
    </row>
    <row r="8" spans="1:9" ht="30" customHeight="1">
      <c r="A8" s="16" t="s">
        <v>497</v>
      </c>
      <c r="B8" s="11" t="s">
        <v>498</v>
      </c>
      <c r="C8" s="11" t="s">
        <v>499</v>
      </c>
      <c r="D8" s="16" t="s">
        <v>131</v>
      </c>
      <c r="E8" s="11" t="s">
        <v>500</v>
      </c>
      <c r="F8" s="16" t="s">
        <v>93</v>
      </c>
      <c r="G8" s="18"/>
      <c r="H8" s="18"/>
      <c r="I8" s="18"/>
    </row>
    <row r="9" spans="1:9" ht="30" customHeight="1">
      <c r="A9" s="16" t="s">
        <v>501</v>
      </c>
      <c r="B9" s="11" t="s">
        <v>502</v>
      </c>
      <c r="C9" s="11" t="s">
        <v>503</v>
      </c>
      <c r="D9" s="16" t="s">
        <v>504</v>
      </c>
      <c r="E9" s="11" t="s">
        <v>505</v>
      </c>
      <c r="F9" s="16" t="s">
        <v>93</v>
      </c>
      <c r="G9" s="18"/>
      <c r="H9" s="18"/>
      <c r="I9" s="18"/>
    </row>
    <row r="10" spans="1:9" ht="39.75" customHeight="1">
      <c r="A10" s="16" t="s">
        <v>506</v>
      </c>
      <c r="B10" s="11" t="s">
        <v>507</v>
      </c>
      <c r="C10" s="11" t="s">
        <v>508</v>
      </c>
      <c r="D10" s="16" t="s">
        <v>447</v>
      </c>
      <c r="E10" s="11" t="s">
        <v>509</v>
      </c>
      <c r="F10" s="16" t="s">
        <v>181</v>
      </c>
      <c r="G10" s="18"/>
      <c r="H10" s="18"/>
      <c r="I10" s="18"/>
    </row>
    <row r="11" spans="1:9" ht="39.75" customHeight="1">
      <c r="A11" s="16" t="s">
        <v>510</v>
      </c>
      <c r="B11" s="11" t="s">
        <v>511</v>
      </c>
      <c r="C11" s="11" t="s">
        <v>512</v>
      </c>
      <c r="D11" s="16" t="s">
        <v>131</v>
      </c>
      <c r="E11" s="12" t="s">
        <v>513</v>
      </c>
      <c r="F11" s="16" t="s">
        <v>93</v>
      </c>
      <c r="G11" s="18"/>
      <c r="H11" s="18"/>
      <c r="I11" s="18"/>
    </row>
    <row r="13" spans="1:9" ht="227.25" customHeight="1">
      <c r="A13" s="19" t="s">
        <v>514</v>
      </c>
    </row>
    <row r="14" spans="1:9" ht="153" customHeight="1">
      <c r="A14" s="19" t="s">
        <v>515</v>
      </c>
    </row>
    <row r="15" spans="1:9" ht="293.25" customHeight="1">
      <c r="A15" s="19" t="s">
        <v>516</v>
      </c>
    </row>
    <row r="16" spans="1:9" ht="263.25" customHeight="1">
      <c r="A16" s="20" t="s">
        <v>517</v>
      </c>
    </row>
    <row r="17" spans="1:1" ht="361.5" customHeight="1">
      <c r="A17" s="19" t="s">
        <v>518</v>
      </c>
    </row>
    <row r="18" spans="1:1" ht="341.25" customHeight="1">
      <c r="A18" s="19" t="s">
        <v>519</v>
      </c>
    </row>
  </sheetData>
  <phoneticPr fontId="27"/>
  <dataValidations count="1">
    <dataValidation type="list" allowBlank="1" sqref="H5:H11" xr:uid="{00000000-0002-0000-0700-000000000000}">
      <formula1>"OK,NG,未実施"</formula1>
      <formula2>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8"/>
  <sheetViews>
    <sheetView zoomScaleNormal="100" workbookViewId="0"/>
  </sheetViews>
  <sheetFormatPr defaultColWidth="8.7109375" defaultRowHeight="15"/>
  <cols>
    <col min="1" max="1" width="7" customWidth="1"/>
    <col min="2" max="2" width="20" customWidth="1"/>
    <col min="3" max="3" width="34" customWidth="1"/>
    <col min="4" max="4" width="16" customWidth="1"/>
    <col min="5" max="5" width="26" customWidth="1"/>
    <col min="6" max="6" width="7" customWidth="1"/>
    <col min="7" max="7" width="12" customWidth="1"/>
    <col min="8" max="8" width="9" customWidth="1"/>
    <col min="9" max="9" width="26" customWidth="1"/>
  </cols>
  <sheetData>
    <row r="1" spans="1:9" ht="21" customHeight="1">
      <c r="A1" s="1" t="s">
        <v>520</v>
      </c>
    </row>
    <row r="2" spans="1:9" ht="13.5" customHeight="1">
      <c r="A2" s="2" t="s">
        <v>521</v>
      </c>
    </row>
    <row r="4" spans="1:9" ht="30" customHeight="1">
      <c r="A4" s="14" t="s">
        <v>62</v>
      </c>
      <c r="B4" s="15" t="s">
        <v>63</v>
      </c>
      <c r="C4" s="15" t="s">
        <v>64</v>
      </c>
      <c r="D4" s="15" t="s">
        <v>65</v>
      </c>
      <c r="E4" s="15" t="s">
        <v>66</v>
      </c>
      <c r="F4" s="15" t="s">
        <v>67</v>
      </c>
      <c r="G4" s="15" t="s">
        <v>68</v>
      </c>
      <c r="H4" s="15" t="s">
        <v>69</v>
      </c>
      <c r="I4" s="15" t="s">
        <v>70</v>
      </c>
    </row>
    <row r="5" spans="1:9" ht="30" customHeight="1">
      <c r="A5" s="16" t="s">
        <v>522</v>
      </c>
      <c r="B5" s="11" t="s">
        <v>523</v>
      </c>
      <c r="C5" s="11" t="s">
        <v>524</v>
      </c>
      <c r="D5" s="16" t="s">
        <v>525</v>
      </c>
      <c r="E5" s="11" t="s">
        <v>526</v>
      </c>
      <c r="F5" s="16" t="s">
        <v>486</v>
      </c>
      <c r="G5" s="18"/>
      <c r="H5" s="18"/>
      <c r="I5" s="18"/>
    </row>
    <row r="6" spans="1:9" ht="30" customHeight="1">
      <c r="A6" s="16" t="s">
        <v>527</v>
      </c>
      <c r="B6" s="11" t="s">
        <v>528</v>
      </c>
      <c r="C6" s="12" t="s">
        <v>529</v>
      </c>
      <c r="D6" s="16" t="s">
        <v>525</v>
      </c>
      <c r="E6" s="11" t="s">
        <v>530</v>
      </c>
      <c r="F6" s="16" t="s">
        <v>486</v>
      </c>
      <c r="G6" s="18"/>
      <c r="H6" s="18"/>
      <c r="I6" s="18"/>
    </row>
    <row r="8" spans="1:9" ht="178.5" customHeight="1">
      <c r="A8" s="20" t="s">
        <v>531</v>
      </c>
    </row>
  </sheetData>
  <phoneticPr fontId="27"/>
  <dataValidations count="1">
    <dataValidation type="list" allowBlank="1" sqref="H5:H6" xr:uid="{00000000-0002-0000-0800-000000000000}">
      <formula1>"OK,NG,未実施"</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7"/>
  <sheetViews>
    <sheetView zoomScaleNormal="100" workbookViewId="0"/>
  </sheetViews>
  <sheetFormatPr defaultColWidth="8.7109375" defaultRowHeight="15"/>
  <cols>
    <col min="1" max="1" width="7" customWidth="1"/>
    <col min="2" max="2" width="20" customWidth="1"/>
    <col min="3" max="3" width="34" customWidth="1"/>
    <col min="4" max="4" width="16" customWidth="1"/>
    <col min="5" max="5" width="26" customWidth="1"/>
    <col min="6" max="6" width="7" customWidth="1"/>
    <col min="7" max="7" width="12" customWidth="1"/>
    <col min="8" max="8" width="9" customWidth="1"/>
    <col min="9" max="9" width="26" customWidth="1"/>
  </cols>
  <sheetData>
    <row r="1" spans="1:9" ht="21" customHeight="1">
      <c r="A1" s="1" t="s">
        <v>532</v>
      </c>
    </row>
    <row r="2" spans="1:9" ht="13.5" customHeight="1">
      <c r="A2" s="2" t="s">
        <v>533</v>
      </c>
    </row>
    <row r="4" spans="1:9" ht="30" customHeight="1">
      <c r="A4" s="14" t="s">
        <v>62</v>
      </c>
      <c r="B4" s="15" t="s">
        <v>63</v>
      </c>
      <c r="C4" s="15" t="s">
        <v>64</v>
      </c>
      <c r="D4" s="15" t="s">
        <v>65</v>
      </c>
      <c r="E4" s="15" t="s">
        <v>66</v>
      </c>
      <c r="F4" s="15" t="s">
        <v>67</v>
      </c>
      <c r="G4" s="15" t="s">
        <v>68</v>
      </c>
      <c r="H4" s="15" t="s">
        <v>69</v>
      </c>
      <c r="I4" s="15" t="s">
        <v>70</v>
      </c>
    </row>
    <row r="5" spans="1:9" ht="30" customHeight="1">
      <c r="A5" s="16" t="s">
        <v>534</v>
      </c>
      <c r="B5" s="11" t="s">
        <v>535</v>
      </c>
      <c r="C5" s="11" t="s">
        <v>536</v>
      </c>
      <c r="D5" s="16" t="s">
        <v>131</v>
      </c>
      <c r="E5" s="12" t="s">
        <v>537</v>
      </c>
      <c r="F5" s="16" t="s">
        <v>93</v>
      </c>
      <c r="G5" s="18"/>
      <c r="H5" s="18"/>
      <c r="I5" s="18"/>
    </row>
    <row r="6" spans="1:9" ht="30" customHeight="1">
      <c r="A6" s="16" t="s">
        <v>538</v>
      </c>
      <c r="B6" s="11" t="s">
        <v>539</v>
      </c>
      <c r="C6" s="11" t="s">
        <v>540</v>
      </c>
      <c r="D6" s="16" t="s">
        <v>131</v>
      </c>
      <c r="E6" s="12" t="s">
        <v>541</v>
      </c>
      <c r="F6" s="16" t="s">
        <v>93</v>
      </c>
      <c r="G6" s="18"/>
      <c r="H6" s="18"/>
      <c r="I6" s="18"/>
    </row>
    <row r="7" spans="1:9" ht="30" customHeight="1">
      <c r="A7" s="16" t="s">
        <v>542</v>
      </c>
      <c r="B7" s="11" t="s">
        <v>543</v>
      </c>
      <c r="C7" s="11" t="s">
        <v>544</v>
      </c>
      <c r="D7" s="16" t="s">
        <v>545</v>
      </c>
      <c r="E7" s="12" t="s">
        <v>546</v>
      </c>
      <c r="F7" s="16" t="s">
        <v>82</v>
      </c>
      <c r="G7" s="18"/>
      <c r="H7" s="18"/>
      <c r="I7" s="18"/>
    </row>
    <row r="8" spans="1:9" ht="30" customHeight="1">
      <c r="A8" s="16" t="s">
        <v>547</v>
      </c>
      <c r="B8" s="12" t="s">
        <v>548</v>
      </c>
      <c r="C8" s="12" t="s">
        <v>549</v>
      </c>
      <c r="D8" s="16" t="s">
        <v>550</v>
      </c>
      <c r="E8" s="12" t="s">
        <v>551</v>
      </c>
      <c r="F8" s="16" t="s">
        <v>552</v>
      </c>
      <c r="G8" s="18"/>
      <c r="H8" s="18"/>
      <c r="I8" s="18"/>
    </row>
    <row r="9" spans="1:9" ht="30" customHeight="1">
      <c r="A9" s="16" t="s">
        <v>553</v>
      </c>
      <c r="B9" s="12" t="s">
        <v>554</v>
      </c>
      <c r="C9" s="12" t="s">
        <v>555</v>
      </c>
      <c r="D9" s="16" t="s">
        <v>550</v>
      </c>
      <c r="E9" s="11" t="s">
        <v>556</v>
      </c>
      <c r="F9" s="16" t="s">
        <v>552</v>
      </c>
      <c r="G9" s="18"/>
      <c r="H9" s="18"/>
      <c r="I9" s="18"/>
    </row>
    <row r="10" spans="1:9" ht="30" customHeight="1">
      <c r="A10" s="16" t="s">
        <v>557</v>
      </c>
      <c r="B10" s="12" t="s">
        <v>558</v>
      </c>
      <c r="C10" s="12" t="s">
        <v>559</v>
      </c>
      <c r="D10" s="16" t="s">
        <v>560</v>
      </c>
      <c r="E10" s="12" t="s">
        <v>561</v>
      </c>
      <c r="F10" s="16" t="s">
        <v>486</v>
      </c>
      <c r="G10" s="18"/>
      <c r="H10" s="18"/>
      <c r="I10" s="18"/>
    </row>
    <row r="11" spans="1:9" ht="30" customHeight="1">
      <c r="A11" s="16" t="s">
        <v>562</v>
      </c>
      <c r="B11" s="12" t="s">
        <v>563</v>
      </c>
      <c r="C11" s="11" t="s">
        <v>564</v>
      </c>
      <c r="D11" s="16" t="s">
        <v>116</v>
      </c>
      <c r="E11" s="12" t="s">
        <v>565</v>
      </c>
      <c r="F11" s="17" t="s">
        <v>323</v>
      </c>
      <c r="G11" s="18"/>
      <c r="H11" s="18"/>
      <c r="I11" s="18"/>
    </row>
    <row r="12" spans="1:9" ht="30" customHeight="1">
      <c r="A12" s="16" t="s">
        <v>566</v>
      </c>
      <c r="B12" s="12" t="s">
        <v>567</v>
      </c>
      <c r="C12" s="11" t="s">
        <v>568</v>
      </c>
      <c r="D12" s="17" t="s">
        <v>569</v>
      </c>
      <c r="E12" s="11" t="s">
        <v>313</v>
      </c>
      <c r="F12" s="17" t="s">
        <v>323</v>
      </c>
      <c r="G12" s="18"/>
      <c r="H12" s="18"/>
      <c r="I12" s="18"/>
    </row>
    <row r="14" spans="1:9" ht="336.75" customHeight="1">
      <c r="A14" s="19" t="s">
        <v>570</v>
      </c>
    </row>
    <row r="15" spans="1:9" ht="191.25" customHeight="1">
      <c r="A15" s="19" t="s">
        <v>571</v>
      </c>
    </row>
    <row r="16" spans="1:9" ht="231" customHeight="1">
      <c r="A16" s="19" t="s">
        <v>572</v>
      </c>
    </row>
    <row r="17" spans="1:1" ht="315.75" customHeight="1">
      <c r="A17" s="20" t="s">
        <v>573</v>
      </c>
    </row>
  </sheetData>
  <phoneticPr fontId="27"/>
  <dataValidations count="1">
    <dataValidation type="list" allowBlank="1" sqref="H5:H12" xr:uid="{00000000-0002-0000-0900-000000000000}">
      <formula1>"OK,NG,未実施"</formula1>
      <formula2>0</formula2>
    </dataValidation>
  </dataValidation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62"/>
  <sheetViews>
    <sheetView zoomScaleNormal="100" workbookViewId="0">
      <selection activeCell="A5" sqref="A5"/>
    </sheetView>
  </sheetViews>
  <sheetFormatPr defaultColWidth="8.7109375" defaultRowHeight="15"/>
  <cols>
    <col min="1" max="1" width="7" customWidth="1"/>
    <col min="2" max="2" width="20" customWidth="1"/>
    <col min="3" max="3" width="34" customWidth="1"/>
    <col min="4" max="4" width="16" customWidth="1"/>
    <col min="5" max="5" width="26" customWidth="1"/>
    <col min="6" max="6" width="7" customWidth="1"/>
    <col min="7" max="7" width="12" customWidth="1"/>
    <col min="8" max="8" width="9" customWidth="1"/>
    <col min="9" max="9" width="26" customWidth="1"/>
  </cols>
  <sheetData>
    <row r="1" spans="1:9" ht="21" customHeight="1">
      <c r="A1" s="1" t="s">
        <v>574</v>
      </c>
    </row>
    <row r="2" spans="1:9">
      <c r="A2" s="76" t="s">
        <v>575</v>
      </c>
    </row>
    <row r="4" spans="1:9" ht="30" customHeight="1">
      <c r="A4" s="14" t="s">
        <v>62</v>
      </c>
      <c r="B4" s="29" t="s">
        <v>63</v>
      </c>
      <c r="C4" s="29" t="s">
        <v>64</v>
      </c>
      <c r="D4" s="29" t="s">
        <v>65</v>
      </c>
      <c r="E4" s="29" t="s">
        <v>66</v>
      </c>
      <c r="F4" s="29" t="s">
        <v>67</v>
      </c>
      <c r="G4" s="29" t="s">
        <v>68</v>
      </c>
      <c r="H4" s="29" t="s">
        <v>69</v>
      </c>
      <c r="I4" s="29" t="s">
        <v>70</v>
      </c>
    </row>
    <row r="5" spans="1:9" ht="31.5" customHeight="1">
      <c r="A5" s="79">
        <v>46266</v>
      </c>
      <c r="B5" s="78" t="s">
        <v>786</v>
      </c>
      <c r="C5" s="24" t="s">
        <v>576</v>
      </c>
      <c r="D5" s="16" t="s">
        <v>152</v>
      </c>
      <c r="E5" s="24" t="s">
        <v>313</v>
      </c>
      <c r="F5" s="16" t="s">
        <v>93</v>
      </c>
      <c r="G5" s="18" t="s">
        <v>784</v>
      </c>
      <c r="H5" s="18" t="s">
        <v>182</v>
      </c>
      <c r="I5" s="18"/>
    </row>
    <row r="6" spans="1:9" ht="31.5" customHeight="1">
      <c r="A6" s="16" t="s">
        <v>577</v>
      </c>
      <c r="B6" s="24" t="s">
        <v>578</v>
      </c>
      <c r="C6" s="24" t="s">
        <v>579</v>
      </c>
      <c r="D6" s="16" t="s">
        <v>152</v>
      </c>
      <c r="E6" s="12" t="s">
        <v>580</v>
      </c>
      <c r="F6" s="16" t="s">
        <v>93</v>
      </c>
      <c r="G6" s="18" t="s">
        <v>785</v>
      </c>
      <c r="H6" s="18" t="s">
        <v>182</v>
      </c>
      <c r="I6" s="18"/>
    </row>
    <row r="7" spans="1:9" ht="29.85" customHeight="1">
      <c r="A7" s="16" t="s">
        <v>581</v>
      </c>
      <c r="B7" s="24" t="s">
        <v>411</v>
      </c>
      <c r="C7" s="12" t="s">
        <v>582</v>
      </c>
      <c r="D7" s="16" t="s">
        <v>76</v>
      </c>
      <c r="E7" s="12" t="s">
        <v>583</v>
      </c>
      <c r="F7" s="16" t="s">
        <v>486</v>
      </c>
      <c r="G7" s="28" t="str">
        <f>IF(COUNT(G5,G6)=2,(G5-G6)*1000,"")</f>
        <v/>
      </c>
      <c r="H7" s="30" t="s">
        <v>182</v>
      </c>
      <c r="I7" s="30"/>
    </row>
    <row r="9" spans="1:9" ht="15" customHeight="1">
      <c r="A9" s="31" t="s">
        <v>584</v>
      </c>
    </row>
    <row r="10" spans="1:9">
      <c r="A10" s="74" t="s">
        <v>585</v>
      </c>
    </row>
    <row r="11" spans="1:9">
      <c r="A11" s="74" t="s">
        <v>586</v>
      </c>
    </row>
    <row r="12" spans="1:9">
      <c r="A12" s="74" t="s">
        <v>587</v>
      </c>
    </row>
    <row r="13" spans="1:9">
      <c r="A13" s="74" t="s">
        <v>588</v>
      </c>
    </row>
    <row r="14" spans="1:9">
      <c r="A14" s="74" t="s">
        <v>589</v>
      </c>
    </row>
    <row r="15" spans="1:9">
      <c r="A15" s="74" t="s">
        <v>590</v>
      </c>
    </row>
    <row r="17" spans="1:8" ht="15" customHeight="1">
      <c r="A17" s="21" t="s">
        <v>591</v>
      </c>
      <c r="E17" s="60" t="s">
        <v>592</v>
      </c>
      <c r="F17" s="61">
        <v>3000</v>
      </c>
      <c r="G17" s="60" t="s">
        <v>593</v>
      </c>
      <c r="H17" s="62">
        <f>10000+F17</f>
        <v>13000</v>
      </c>
    </row>
    <row r="18" spans="1:8" ht="32.85" customHeight="1">
      <c r="A18" s="29" t="s">
        <v>63</v>
      </c>
      <c r="B18" s="14" t="s">
        <v>594</v>
      </c>
      <c r="C18" s="14" t="s">
        <v>595</v>
      </c>
      <c r="D18" s="29" t="s">
        <v>596</v>
      </c>
    </row>
    <row r="19" spans="1:8" ht="15" customHeight="1">
      <c r="A19" s="32" t="s">
        <v>597</v>
      </c>
      <c r="B19" s="33" t="str">
        <f>IF(ISNUMBER($G$6),$G$6/((19.5-$G$6)/$H$17-0.000006),"")</f>
        <v/>
      </c>
      <c r="C19" s="33" t="str">
        <f>IF(ISNUMBER($G$6),$G$6/((29.4-$G$6)/$H$17-0.000006),"")</f>
        <v/>
      </c>
      <c r="D19" s="34" t="s">
        <v>76</v>
      </c>
    </row>
    <row r="20" spans="1:8" ht="15" customHeight="1">
      <c r="A20" s="34" t="s">
        <v>598</v>
      </c>
      <c r="B20" s="33" t="str">
        <f>IF(ISNUMBER(B19),1/(1/B19-1/100000),"")</f>
        <v/>
      </c>
      <c r="C20" s="33" t="str">
        <f>IF(ISNUMBER(C19),1/(1/C19-1/100000),"")</f>
        <v/>
      </c>
      <c r="D20" s="34" t="s">
        <v>76</v>
      </c>
    </row>
    <row r="21" spans="1:8" ht="15" customHeight="1">
      <c r="A21" s="34" t="s">
        <v>599</v>
      </c>
      <c r="B21" s="35" t="str">
        <f>IF(ISNUMBER(B20),1/(1/298.15+LN(B20/10000)/3944)-273.15,"")</f>
        <v/>
      </c>
      <c r="C21" s="35" t="str">
        <f>IF(ISNUMBER(C20),1/(1/298.15+LN(C20/10000)/3944)-273.15,"")</f>
        <v/>
      </c>
      <c r="D21" s="34" t="s">
        <v>600</v>
      </c>
    </row>
    <row r="22" spans="1:8" ht="15" customHeight="1">
      <c r="A22" s="34" t="s">
        <v>601</v>
      </c>
      <c r="B22" s="35" t="str">
        <f>IF(ISNUMBER(B21),B21+29,"")</f>
        <v/>
      </c>
      <c r="C22" s="35" t="str">
        <f>IF(ISNUMBER(C21),C21+29,"")</f>
        <v/>
      </c>
      <c r="D22" s="34" t="s">
        <v>602</v>
      </c>
    </row>
    <row r="23" spans="1:8" ht="15" customHeight="1">
      <c r="A23" s="32" t="s">
        <v>603</v>
      </c>
      <c r="B23" s="35" t="str">
        <f>IF(ISNUMBER(B21),B21-65,"")</f>
        <v/>
      </c>
      <c r="C23" s="35" t="str">
        <f>IF(ISNUMBER(C21),C21-65,"")</f>
        <v/>
      </c>
      <c r="D23" s="34" t="s">
        <v>604</v>
      </c>
    </row>
    <row r="25" spans="1:8" ht="225.4" customHeight="1">
      <c r="A25" s="75" t="s">
        <v>605</v>
      </c>
    </row>
    <row r="26" spans="1:8" ht="318.60000000000002" customHeight="1">
      <c r="A26" s="76" t="s">
        <v>606</v>
      </c>
    </row>
    <row r="27" spans="1:8" ht="402.95" customHeight="1">
      <c r="A27" s="77" t="s">
        <v>607</v>
      </c>
    </row>
    <row r="28" spans="1:8" ht="141" customHeight="1">
      <c r="A28" s="77" t="s">
        <v>608</v>
      </c>
    </row>
    <row r="29" spans="1:8" ht="176.85" customHeight="1">
      <c r="A29" s="76" t="s">
        <v>609</v>
      </c>
    </row>
    <row r="31" spans="1:8">
      <c r="A31" s="44" t="s">
        <v>610</v>
      </c>
    </row>
    <row r="32" spans="1:8" ht="30" customHeight="1">
      <c r="A32" s="45" t="s">
        <v>611</v>
      </c>
      <c r="B32" s="45" t="s">
        <v>612</v>
      </c>
      <c r="C32" s="45" t="s">
        <v>613</v>
      </c>
      <c r="D32" s="45" t="s">
        <v>614</v>
      </c>
      <c r="E32" s="45" t="s">
        <v>615</v>
      </c>
      <c r="F32" s="45" t="s">
        <v>616</v>
      </c>
      <c r="G32" s="45" t="s">
        <v>617</v>
      </c>
      <c r="H32" s="45" t="s">
        <v>618</v>
      </c>
    </row>
    <row r="33" spans="1:8">
      <c r="A33" s="46" t="s">
        <v>619</v>
      </c>
      <c r="B33" s="47" t="s">
        <v>620</v>
      </c>
      <c r="C33" s="48">
        <v>85.4</v>
      </c>
      <c r="D33" s="48">
        <v>92.7</v>
      </c>
      <c r="E33" s="48">
        <v>100</v>
      </c>
      <c r="F33" s="48">
        <v>108</v>
      </c>
      <c r="G33" s="48">
        <v>116.1</v>
      </c>
      <c r="H33" s="48">
        <v>124.4</v>
      </c>
    </row>
    <row r="34" spans="1:8">
      <c r="A34" s="46" t="s">
        <v>621</v>
      </c>
      <c r="B34" s="47" t="s">
        <v>622</v>
      </c>
      <c r="C34" s="48">
        <v>73.2</v>
      </c>
      <c r="D34" s="48">
        <v>80.2</v>
      </c>
      <c r="E34" s="48">
        <v>87.1</v>
      </c>
      <c r="F34" s="48">
        <v>94.3</v>
      </c>
      <c r="G34" s="48">
        <v>102.1</v>
      </c>
      <c r="H34" s="48">
        <v>109.9</v>
      </c>
    </row>
    <row r="35" spans="1:8">
      <c r="A35" s="46" t="s">
        <v>623</v>
      </c>
      <c r="B35" s="47" t="s">
        <v>624</v>
      </c>
      <c r="C35" s="48">
        <v>69.2</v>
      </c>
      <c r="D35" s="48">
        <v>76.099999999999994</v>
      </c>
      <c r="E35" s="48">
        <v>82.9</v>
      </c>
      <c r="F35" s="48">
        <v>89.8</v>
      </c>
      <c r="G35" s="48">
        <v>97.5</v>
      </c>
      <c r="H35" s="48">
        <v>105.1</v>
      </c>
    </row>
    <row r="36" spans="1:8">
      <c r="A36" s="46" t="s">
        <v>625</v>
      </c>
      <c r="B36" s="47" t="s">
        <v>626</v>
      </c>
      <c r="C36" s="48">
        <v>64.599999999999994</v>
      </c>
      <c r="D36" s="48">
        <v>71.400000000000006</v>
      </c>
      <c r="E36" s="48">
        <v>78.099999999999994</v>
      </c>
      <c r="F36" s="48">
        <v>84.7</v>
      </c>
      <c r="G36" s="48">
        <v>92.2</v>
      </c>
      <c r="H36" s="48">
        <v>99.7</v>
      </c>
    </row>
    <row r="37" spans="1:8">
      <c r="A37" s="46" t="s">
        <v>627</v>
      </c>
      <c r="B37" s="47" t="s">
        <v>628</v>
      </c>
      <c r="C37" s="48">
        <v>55.5</v>
      </c>
      <c r="D37" s="48">
        <v>62.1</v>
      </c>
      <c r="E37" s="48">
        <v>68.7</v>
      </c>
      <c r="F37" s="48">
        <v>74.599999999999994</v>
      </c>
      <c r="G37" s="48">
        <v>81.900000000000006</v>
      </c>
      <c r="H37" s="48">
        <v>89.2</v>
      </c>
    </row>
    <row r="39" spans="1:8" ht="30" customHeight="1">
      <c r="A39" s="44" t="s">
        <v>629</v>
      </c>
    </row>
    <row r="40" spans="1:8" ht="45">
      <c r="A40" s="45" t="s">
        <v>611</v>
      </c>
      <c r="B40" s="45" t="s">
        <v>612</v>
      </c>
      <c r="C40" s="45" t="s">
        <v>613</v>
      </c>
      <c r="D40" s="45" t="s">
        <v>614</v>
      </c>
      <c r="E40" s="45" t="s">
        <v>615</v>
      </c>
      <c r="F40" s="45" t="s">
        <v>616</v>
      </c>
      <c r="G40" s="45" t="s">
        <v>617</v>
      </c>
      <c r="H40" s="45" t="s">
        <v>618</v>
      </c>
    </row>
    <row r="41" spans="1:8">
      <c r="A41" s="46" t="s">
        <v>619</v>
      </c>
      <c r="B41" s="47" t="s">
        <v>620</v>
      </c>
      <c r="C41" s="48">
        <v>114</v>
      </c>
      <c r="D41" s="48">
        <v>122</v>
      </c>
      <c r="E41" s="48">
        <v>129</v>
      </c>
      <c r="F41" s="48">
        <v>137</v>
      </c>
      <c r="G41" s="48">
        <v>145</v>
      </c>
      <c r="H41" s="49">
        <v>153</v>
      </c>
    </row>
    <row r="42" spans="1:8">
      <c r="A42" s="46" t="s">
        <v>621</v>
      </c>
      <c r="B42" s="47" t="s">
        <v>622</v>
      </c>
      <c r="C42" s="48">
        <v>102</v>
      </c>
      <c r="D42" s="48">
        <v>109</v>
      </c>
      <c r="E42" s="48">
        <v>116</v>
      </c>
      <c r="F42" s="48">
        <v>123</v>
      </c>
      <c r="G42" s="48">
        <v>131</v>
      </c>
      <c r="H42" s="48">
        <v>139</v>
      </c>
    </row>
    <row r="43" spans="1:8">
      <c r="A43" s="46" t="s">
        <v>623</v>
      </c>
      <c r="B43" s="47" t="s">
        <v>624</v>
      </c>
      <c r="C43" s="48">
        <v>98</v>
      </c>
      <c r="D43" s="48">
        <v>105</v>
      </c>
      <c r="E43" s="48">
        <v>112</v>
      </c>
      <c r="F43" s="48">
        <v>119</v>
      </c>
      <c r="G43" s="48">
        <v>126</v>
      </c>
      <c r="H43" s="48">
        <v>134</v>
      </c>
    </row>
    <row r="44" spans="1:8">
      <c r="A44" s="46" t="s">
        <v>625</v>
      </c>
      <c r="B44" s="47" t="s">
        <v>626</v>
      </c>
      <c r="C44" s="48">
        <v>94</v>
      </c>
      <c r="D44" s="48">
        <v>100</v>
      </c>
      <c r="E44" s="48">
        <v>107</v>
      </c>
      <c r="F44" s="48">
        <v>114</v>
      </c>
      <c r="G44" s="48">
        <v>121</v>
      </c>
      <c r="H44" s="48">
        <v>129</v>
      </c>
    </row>
    <row r="45" spans="1:8">
      <c r="A45" s="46" t="s">
        <v>627</v>
      </c>
      <c r="B45" s="47" t="s">
        <v>628</v>
      </c>
      <c r="C45" s="48">
        <v>84</v>
      </c>
      <c r="D45" s="48">
        <v>91</v>
      </c>
      <c r="E45" s="48">
        <v>98</v>
      </c>
      <c r="F45" s="48">
        <v>104</v>
      </c>
      <c r="G45" s="48">
        <v>111</v>
      </c>
      <c r="H45" s="48">
        <v>118</v>
      </c>
    </row>
    <row r="48" spans="1:8" ht="30" customHeight="1">
      <c r="A48" s="70" t="s">
        <v>630</v>
      </c>
      <c r="B48" s="69"/>
      <c r="C48" s="69"/>
      <c r="D48" s="69"/>
      <c r="E48" s="69"/>
      <c r="F48" s="69"/>
      <c r="G48" s="69"/>
      <c r="H48" s="69"/>
    </row>
    <row r="49" spans="1:8" ht="30" customHeight="1">
      <c r="A49" s="70" t="s">
        <v>631</v>
      </c>
      <c r="B49" s="69"/>
      <c r="C49" s="69"/>
      <c r="D49" s="69"/>
      <c r="E49" s="69"/>
      <c r="F49" s="69"/>
      <c r="G49" s="69"/>
      <c r="H49" s="69"/>
    </row>
    <row r="50" spans="1:8" ht="30" customHeight="1">
      <c r="A50" s="70" t="s">
        <v>632</v>
      </c>
      <c r="B50" s="69"/>
      <c r="C50" s="69"/>
      <c r="D50" s="69"/>
      <c r="E50" s="69"/>
      <c r="F50" s="69"/>
      <c r="G50" s="69"/>
      <c r="H50" s="69"/>
    </row>
    <row r="51" spans="1:8" ht="30" customHeight="1">
      <c r="A51" s="70" t="s">
        <v>633</v>
      </c>
      <c r="B51" s="69"/>
      <c r="C51" s="69"/>
      <c r="D51" s="69"/>
      <c r="E51" s="69"/>
      <c r="F51" s="69"/>
      <c r="G51" s="69"/>
      <c r="H51" s="69"/>
    </row>
    <row r="52" spans="1:8" ht="30" customHeight="1">
      <c r="A52" s="70" t="s">
        <v>634</v>
      </c>
      <c r="B52" s="69"/>
      <c r="C52" s="69"/>
      <c r="D52" s="69"/>
      <c r="E52" s="69"/>
      <c r="F52" s="69"/>
      <c r="G52" s="69"/>
      <c r="H52" s="69"/>
    </row>
    <row r="53" spans="1:8" ht="30" customHeight="1">
      <c r="A53" s="70" t="s">
        <v>635</v>
      </c>
      <c r="B53" s="69"/>
      <c r="C53" s="69"/>
      <c r="D53" s="69"/>
      <c r="E53" s="69"/>
      <c r="F53" s="69"/>
      <c r="G53" s="69"/>
      <c r="H53" s="69"/>
    </row>
    <row r="55" spans="1:8">
      <c r="A55" s="63" t="s">
        <v>636</v>
      </c>
    </row>
    <row r="56" spans="1:8" ht="26.1" customHeight="1">
      <c r="A56" s="64" t="s">
        <v>637</v>
      </c>
      <c r="B56" s="64" t="s">
        <v>348</v>
      </c>
      <c r="C56" s="64" t="s">
        <v>638</v>
      </c>
      <c r="D56" s="64" t="s">
        <v>639</v>
      </c>
      <c r="E56" s="64" t="s">
        <v>640</v>
      </c>
      <c r="F56" s="64" t="s">
        <v>641</v>
      </c>
      <c r="G56" s="64" t="s">
        <v>642</v>
      </c>
      <c r="H56" s="64" t="s">
        <v>70</v>
      </c>
    </row>
    <row r="57" spans="1:8" ht="30" customHeight="1">
      <c r="A57" s="65" t="s">
        <v>643</v>
      </c>
      <c r="B57" s="66">
        <v>14700</v>
      </c>
      <c r="C57" s="62">
        <v>1.3</v>
      </c>
      <c r="D57" s="62">
        <v>1.55</v>
      </c>
      <c r="E57" s="62">
        <v>250</v>
      </c>
      <c r="F57" s="67" t="s">
        <v>644</v>
      </c>
      <c r="G57" s="66" t="s">
        <v>645</v>
      </c>
      <c r="H57" s="67" t="s">
        <v>646</v>
      </c>
    </row>
    <row r="58" spans="1:8" ht="24" customHeight="1">
      <c r="A58" s="65" t="s">
        <v>647</v>
      </c>
      <c r="B58" s="66">
        <v>14700</v>
      </c>
      <c r="C58" s="61"/>
      <c r="D58" s="61"/>
      <c r="E58" s="62" t="str">
        <f>IF(COUNT(C58,D58)=2,(D58-C58)*1000,"")</f>
        <v/>
      </c>
      <c r="F58" s="67" t="s">
        <v>648</v>
      </c>
      <c r="G58" s="66"/>
      <c r="H58" s="67"/>
    </row>
    <row r="59" spans="1:8" ht="24" customHeight="1">
      <c r="A59" s="65" t="s">
        <v>649</v>
      </c>
      <c r="B59" s="66">
        <v>14700</v>
      </c>
      <c r="C59" s="61"/>
      <c r="D59" s="61"/>
      <c r="E59" s="62" t="str">
        <f>IF(COUNT(C59,D59)=2,(D59-C59)*1000,"")</f>
        <v/>
      </c>
      <c r="F59" s="67" t="s">
        <v>648</v>
      </c>
      <c r="G59" s="66"/>
      <c r="H59" s="67"/>
    </row>
    <row r="61" spans="1:8" ht="30" customHeight="1">
      <c r="A61" s="70" t="s">
        <v>650</v>
      </c>
      <c r="B61" s="69"/>
      <c r="C61" s="69"/>
      <c r="D61" s="69"/>
      <c r="E61" s="69"/>
      <c r="F61" s="69"/>
      <c r="G61" s="69"/>
      <c r="H61" s="69"/>
    </row>
    <row r="62" spans="1:8" ht="30" customHeight="1">
      <c r="A62" s="70" t="s">
        <v>651</v>
      </c>
      <c r="B62" s="69"/>
      <c r="C62" s="69"/>
      <c r="D62" s="69"/>
      <c r="E62" s="69"/>
      <c r="F62" s="69"/>
      <c r="G62" s="69"/>
      <c r="H62" s="69"/>
    </row>
  </sheetData>
  <mergeCells count="8">
    <mergeCell ref="A50:H50"/>
    <mergeCell ref="A48:H48"/>
    <mergeCell ref="A62:H62"/>
    <mergeCell ref="A53:H53"/>
    <mergeCell ref="A51:H51"/>
    <mergeCell ref="A52:H52"/>
    <mergeCell ref="A49:H49"/>
    <mergeCell ref="A61:H61"/>
  </mergeCells>
  <phoneticPr fontId="27"/>
  <dataValidations count="1">
    <dataValidation type="list" allowBlank="1" sqref="H5:H7" xr:uid="{00000000-0002-0000-0A00-000000000000}">
      <formula1>"OK,NG,未実施"</formula1>
      <formula2>0</formula2>
    </dataValidation>
  </dataValidation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36"/>
  <sheetViews>
    <sheetView zoomScaleNormal="100" workbookViewId="0"/>
  </sheetViews>
  <sheetFormatPr defaultColWidth="8.7109375" defaultRowHeight="15"/>
  <cols>
    <col min="1" max="1" width="26" customWidth="1"/>
    <col min="2" max="2" width="18" customWidth="1"/>
    <col min="3" max="4" width="14" customWidth="1"/>
    <col min="5" max="5" width="12" customWidth="1"/>
    <col min="6" max="6" width="34" customWidth="1"/>
  </cols>
  <sheetData>
    <row r="1" spans="1:6" ht="21" customHeight="1">
      <c r="A1" s="36" t="s">
        <v>652</v>
      </c>
    </row>
    <row r="2" spans="1:6" ht="15" customHeight="1">
      <c r="A2" s="13" t="s">
        <v>653</v>
      </c>
    </row>
    <row r="4" spans="1:6" ht="15" customHeight="1">
      <c r="A4" s="10" t="s">
        <v>63</v>
      </c>
      <c r="B4" s="10" t="s">
        <v>654</v>
      </c>
      <c r="C4" s="10" t="s">
        <v>68</v>
      </c>
      <c r="D4" s="10" t="s">
        <v>655</v>
      </c>
      <c r="E4" s="10" t="s">
        <v>69</v>
      </c>
      <c r="F4" s="10" t="s">
        <v>70</v>
      </c>
    </row>
    <row r="5" spans="1:6" ht="15" customHeight="1">
      <c r="A5" s="34" t="s">
        <v>656</v>
      </c>
      <c r="B5" s="34" t="s">
        <v>657</v>
      </c>
      <c r="C5" s="37">
        <f>'1_低電圧基本動作'!G5</f>
        <v>19.7</v>
      </c>
      <c r="D5" s="38">
        <f>IF(ISNUMBER(C5),C5-19.5,"")</f>
        <v>0.19999999999999929</v>
      </c>
      <c r="E5" s="5"/>
      <c r="F5" s="5"/>
    </row>
    <row r="6" spans="1:6" ht="15" customHeight="1">
      <c r="A6" s="34" t="s">
        <v>658</v>
      </c>
      <c r="B6" s="34" t="s">
        <v>659</v>
      </c>
      <c r="C6" s="37">
        <f>'1_低電圧基本動作'!G6</f>
        <v>17.95</v>
      </c>
      <c r="D6" s="38">
        <f>IF(ISNUMBER(C6),C6-17.4,"")</f>
        <v>0.55000000000000071</v>
      </c>
      <c r="E6" s="5"/>
      <c r="F6" s="5"/>
    </row>
    <row r="7" spans="1:6" ht="15" customHeight="1">
      <c r="A7" s="34" t="s">
        <v>138</v>
      </c>
      <c r="B7" s="34" t="s">
        <v>660</v>
      </c>
      <c r="C7" s="37">
        <f>'1_低電圧基本動作'!G7</f>
        <v>33.68</v>
      </c>
      <c r="D7" s="38">
        <f>IF(ISNUMBER(C7),C7-34,"")</f>
        <v>-0.32000000000000028</v>
      </c>
      <c r="E7" s="5"/>
      <c r="F7" s="5"/>
    </row>
    <row r="8" spans="1:6" ht="15" customHeight="1">
      <c r="A8" s="34" t="s">
        <v>142</v>
      </c>
      <c r="B8" s="34" t="s">
        <v>661</v>
      </c>
      <c r="C8" s="37">
        <f>'1_低電圧基本動作'!G8</f>
        <v>30</v>
      </c>
      <c r="D8" s="38">
        <f>IF(ISNUMBER(C8),C8-30.1,"")</f>
        <v>-0.10000000000000142</v>
      </c>
      <c r="E8" s="5"/>
      <c r="F8" s="5"/>
    </row>
    <row r="9" spans="1:6" ht="15" customHeight="1">
      <c r="A9" s="34" t="s">
        <v>662</v>
      </c>
      <c r="B9" s="34" t="s">
        <v>663</v>
      </c>
      <c r="C9" s="37" t="str">
        <f>'1_低電圧基本動作'!G10</f>
        <v>3.225V</v>
      </c>
      <c r="D9" s="38" t="str">
        <f>IF(ISNUMBER(C9),C9-3.9,"")</f>
        <v/>
      </c>
      <c r="E9" s="5"/>
      <c r="F9" s="5"/>
    </row>
    <row r="10" spans="1:6" ht="15" customHeight="1">
      <c r="A10" s="39" t="s">
        <v>664</v>
      </c>
      <c r="B10" s="34" t="s">
        <v>665</v>
      </c>
      <c r="C10" s="37">
        <f>'2_起動波形'!G7</f>
        <v>61.3</v>
      </c>
      <c r="D10" s="38">
        <f>IF(ISNUMBER(C10),C10-53.9,"")</f>
        <v>7.3999999999999986</v>
      </c>
      <c r="E10" s="5"/>
      <c r="F10" s="5"/>
    </row>
    <row r="11" spans="1:6" ht="15" customHeight="1">
      <c r="A11" s="39" t="s">
        <v>189</v>
      </c>
      <c r="B11" s="34" t="s">
        <v>666</v>
      </c>
      <c r="C11" s="37">
        <f>'2_起動波形'!G8</f>
        <v>1.39</v>
      </c>
      <c r="D11" s="38">
        <f>IF(ISNUMBER(C11),C11-2,"")</f>
        <v>-0.6100000000000001</v>
      </c>
      <c r="E11" s="5"/>
      <c r="F11" s="5"/>
    </row>
    <row r="12" spans="1:6" ht="15" customHeight="1">
      <c r="A12" s="39" t="s">
        <v>667</v>
      </c>
      <c r="B12" s="34" t="s">
        <v>668</v>
      </c>
      <c r="C12" s="37" t="str">
        <f>'9_ENしきい値選別'!G6</f>
        <v>1.38V</v>
      </c>
      <c r="D12" s="37" t="s">
        <v>76</v>
      </c>
      <c r="E12" s="5"/>
      <c r="F12" s="5"/>
    </row>
    <row r="13" spans="1:6" ht="15" customHeight="1">
      <c r="A13" s="39" t="s">
        <v>413</v>
      </c>
      <c r="B13" s="34" t="s">
        <v>669</v>
      </c>
      <c r="C13" s="37" t="str">
        <f>'9_ENしきい値選別'!G7</f>
        <v/>
      </c>
      <c r="D13" s="38" t="str">
        <f>IF(ISNUMBER(C13),C13-200,"")</f>
        <v/>
      </c>
      <c r="E13" s="5"/>
      <c r="F13" s="5"/>
    </row>
    <row r="14" spans="1:6" ht="15" customHeight="1">
      <c r="A14" s="34" t="s">
        <v>424</v>
      </c>
      <c r="B14" s="34" t="s">
        <v>670</v>
      </c>
      <c r="C14" s="37" t="str">
        <f>'5_ブレーキチョッパ'!G5</f>
        <v>12.11V</v>
      </c>
      <c r="D14" s="38" t="str">
        <f>IF(ISNUMBER(C14),C14-12,"")</f>
        <v/>
      </c>
      <c r="E14" s="5"/>
      <c r="F14" s="5"/>
    </row>
    <row r="15" spans="1:6" ht="15" customHeight="1">
      <c r="A15" s="39" t="s">
        <v>429</v>
      </c>
      <c r="B15" s="34" t="s">
        <v>671</v>
      </c>
      <c r="C15" s="37" t="str">
        <f>'5_ブレーキチョッパ'!G6</f>
        <v>2.502V</v>
      </c>
      <c r="D15" s="38" t="str">
        <f>IF(ISNUMBER(C15),C15-2.495,"")</f>
        <v/>
      </c>
      <c r="E15" s="5"/>
      <c r="F15" s="5"/>
    </row>
    <row r="16" spans="1:6" ht="15" customHeight="1">
      <c r="A16" s="39" t="s">
        <v>450</v>
      </c>
      <c r="B16" s="34" t="s">
        <v>672</v>
      </c>
      <c r="C16" s="37" t="str">
        <f>'5_ブレーキチョッパ'!G11</f>
        <v>32.06V</v>
      </c>
      <c r="D16" s="38" t="str">
        <f>IF(ISNUMBER(C16),C16-32.2,"")</f>
        <v/>
      </c>
      <c r="E16" s="5"/>
      <c r="F16" s="5"/>
    </row>
    <row r="17" spans="1:6" ht="15" customHeight="1">
      <c r="A17" s="39" t="s">
        <v>454</v>
      </c>
      <c r="B17" s="34" t="s">
        <v>673</v>
      </c>
      <c r="C17" s="37" t="str">
        <f>'5_ブレーキチョッパ'!G12</f>
        <v>31.31V</v>
      </c>
      <c r="D17" s="38" t="str">
        <f>IF(ISNUMBER(C17),C17-30.8,"")</f>
        <v/>
      </c>
      <c r="E17" s="5"/>
      <c r="F17" s="5"/>
    </row>
    <row r="18" spans="1:6" ht="15" customHeight="1">
      <c r="A18" s="39" t="s">
        <v>465</v>
      </c>
      <c r="B18" s="34" t="s">
        <v>674</v>
      </c>
      <c r="C18" s="37" t="str">
        <f>'5_ブレーキチョッパ'!G15</f>
        <v>0.173A</v>
      </c>
      <c r="D18" s="38" t="str">
        <f>IF(ISNUMBER(C18),C18-0.161,"")</f>
        <v/>
      </c>
      <c r="E18" s="5"/>
      <c r="F18" s="5"/>
    </row>
    <row r="20" spans="1:6" ht="15" customHeight="1">
      <c r="A20" s="3" t="s">
        <v>675</v>
      </c>
    </row>
    <row r="21" spans="1:6" ht="15" customHeight="1">
      <c r="A21" s="10" t="s">
        <v>63</v>
      </c>
      <c r="B21" s="10" t="s">
        <v>68</v>
      </c>
      <c r="C21" s="10" t="s">
        <v>67</v>
      </c>
      <c r="D21" s="10" t="s">
        <v>676</v>
      </c>
    </row>
    <row r="22" spans="1:6" ht="43.5" customHeight="1">
      <c r="A22" s="12" t="s">
        <v>172</v>
      </c>
      <c r="B22" s="22" t="str">
        <f>'2_起動波形'!G5</f>
        <v>3580µF</v>
      </c>
      <c r="C22" s="12" t="s">
        <v>176</v>
      </c>
      <c r="D22" s="12" t="s">
        <v>677</v>
      </c>
    </row>
    <row r="23" spans="1:6" ht="15" customHeight="1">
      <c r="A23" s="11" t="s">
        <v>295</v>
      </c>
      <c r="B23" s="22">
        <f>'3_熱特性'!G5</f>
        <v>0</v>
      </c>
      <c r="C23" s="12" t="s">
        <v>299</v>
      </c>
      <c r="D23" s="12" t="s">
        <v>678</v>
      </c>
    </row>
    <row r="24" spans="1:6" ht="29.25" customHeight="1">
      <c r="A24" s="12" t="s">
        <v>679</v>
      </c>
      <c r="B24" s="22" t="str">
        <f>'3_熱特性'!C18</f>
        <v/>
      </c>
      <c r="C24" s="12" t="s">
        <v>299</v>
      </c>
      <c r="D24" s="12" t="s">
        <v>680</v>
      </c>
    </row>
    <row r="25" spans="1:6" ht="29.25" customHeight="1">
      <c r="A25" s="11" t="s">
        <v>317</v>
      </c>
      <c r="B25" s="22">
        <f>'3_熱特性'!G10</f>
        <v>0</v>
      </c>
      <c r="C25" s="12" t="s">
        <v>193</v>
      </c>
      <c r="D25" s="12" t="s">
        <v>681</v>
      </c>
    </row>
    <row r="26" spans="1:6" ht="43.5" customHeight="1">
      <c r="A26" s="12" t="s">
        <v>325</v>
      </c>
      <c r="B26" s="22">
        <f>'3_熱特性'!G12</f>
        <v>0</v>
      </c>
      <c r="C26" s="12" t="s">
        <v>299</v>
      </c>
      <c r="D26" s="12" t="s">
        <v>682</v>
      </c>
    </row>
    <row r="27" spans="1:6" ht="29.25" customHeight="1">
      <c r="A27" s="11" t="s">
        <v>683</v>
      </c>
      <c r="B27" s="22">
        <f>'6_走行時総合'!G5</f>
        <v>0</v>
      </c>
      <c r="C27" s="12" t="s">
        <v>486</v>
      </c>
      <c r="D27" s="12" t="s">
        <v>684</v>
      </c>
    </row>
    <row r="28" spans="1:6" ht="43.5" customHeight="1">
      <c r="A28" s="11" t="s">
        <v>511</v>
      </c>
      <c r="B28" s="22">
        <f>'6_走行時総合'!G11</f>
        <v>0</v>
      </c>
      <c r="C28" s="12" t="s">
        <v>93</v>
      </c>
      <c r="D28" s="12" t="s">
        <v>685</v>
      </c>
    </row>
    <row r="29" spans="1:6" ht="29.25" customHeight="1">
      <c r="A29" s="12" t="s">
        <v>686</v>
      </c>
      <c r="B29" s="22">
        <f>'7_GND分離'!G5</f>
        <v>0</v>
      </c>
      <c r="C29" s="12" t="s">
        <v>486</v>
      </c>
      <c r="D29" s="12" t="s">
        <v>687</v>
      </c>
    </row>
    <row r="30" spans="1:6" ht="43.5" customHeight="1">
      <c r="A30" s="12" t="s">
        <v>548</v>
      </c>
      <c r="B30" s="22">
        <f>'8_外部スイッチ・LED'!G8</f>
        <v>0</v>
      </c>
      <c r="C30" s="12" t="s">
        <v>552</v>
      </c>
      <c r="D30" s="12" t="s">
        <v>688</v>
      </c>
    </row>
    <row r="31" spans="1:6" ht="44.1" customHeight="1">
      <c r="A31" s="24" t="s">
        <v>689</v>
      </c>
      <c r="B31" s="40" t="str">
        <f>'9_ENしきい値選別'!B21</f>
        <v/>
      </c>
      <c r="C31" s="12" t="s">
        <v>299</v>
      </c>
      <c r="D31" s="24" t="s">
        <v>690</v>
      </c>
    </row>
    <row r="32" spans="1:6" ht="15" customHeight="1">
      <c r="A32" s="3" t="s">
        <v>691</v>
      </c>
      <c r="B32" s="5"/>
    </row>
    <row r="33" spans="1:6" ht="15" customHeight="1">
      <c r="A33" s="3" t="s">
        <v>692</v>
      </c>
      <c r="B33" s="5"/>
      <c r="C33" s="5"/>
      <c r="D33" s="5"/>
      <c r="E33" s="5"/>
      <c r="F33" s="5"/>
    </row>
    <row r="34" spans="1:6" ht="15" customHeight="1">
      <c r="B34" s="5"/>
      <c r="C34" s="5"/>
      <c r="D34" s="5"/>
      <c r="E34" s="5"/>
      <c r="F34" s="5"/>
    </row>
    <row r="35" spans="1:6" ht="15" customHeight="1">
      <c r="B35" s="5"/>
      <c r="C35" s="5"/>
      <c r="D35" s="5"/>
      <c r="E35" s="5"/>
      <c r="F35" s="5"/>
    </row>
    <row r="36" spans="1:6" ht="15" customHeight="1">
      <c r="B36" s="5"/>
      <c r="C36" s="5"/>
      <c r="D36" s="5"/>
      <c r="E36" s="5"/>
      <c r="F36" s="5"/>
    </row>
  </sheetData>
  <phoneticPr fontId="27"/>
  <dataValidations count="1">
    <dataValidation type="list" allowBlank="1" sqref="E5:E18" xr:uid="{00000000-0002-0000-0B00-000000000000}">
      <formula1>"OK,NG,未実施"</formula1>
      <formula2>0</formula2>
    </dataValidation>
  </dataValidation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23"/>
  <sheetViews>
    <sheetView zoomScaleNormal="100" workbookViewId="0"/>
  </sheetViews>
  <sheetFormatPr defaultColWidth="8.7109375" defaultRowHeight="15"/>
  <cols>
    <col min="1" max="1" width="10" customWidth="1"/>
    <col min="2" max="2" width="22" customWidth="1"/>
    <col min="3" max="3" width="34" customWidth="1"/>
    <col min="4" max="4" width="44" customWidth="1"/>
  </cols>
  <sheetData>
    <row r="1" spans="1:4" ht="21" customHeight="1">
      <c r="A1" s="1" t="s">
        <v>693</v>
      </c>
    </row>
    <row r="2" spans="1:4" ht="15" customHeight="1">
      <c r="A2" s="13" t="s">
        <v>694</v>
      </c>
    </row>
    <row r="4" spans="1:4" ht="15" customHeight="1">
      <c r="A4" s="10" t="s">
        <v>695</v>
      </c>
      <c r="B4" s="10" t="s">
        <v>696</v>
      </c>
      <c r="C4" s="10" t="s">
        <v>697</v>
      </c>
      <c r="D4" s="10" t="s">
        <v>698</v>
      </c>
    </row>
    <row r="5" spans="1:4" ht="42" customHeight="1">
      <c r="A5" s="41" t="s">
        <v>699</v>
      </c>
      <c r="B5" s="41" t="s">
        <v>700</v>
      </c>
      <c r="C5" s="42" t="s">
        <v>701</v>
      </c>
      <c r="D5" s="41" t="s">
        <v>702</v>
      </c>
    </row>
    <row r="6" spans="1:4" ht="42" customHeight="1">
      <c r="A6" s="41" t="s">
        <v>699</v>
      </c>
      <c r="B6" s="41" t="s">
        <v>703</v>
      </c>
      <c r="C6" s="41" t="s">
        <v>704</v>
      </c>
      <c r="D6" s="42" t="s">
        <v>705</v>
      </c>
    </row>
    <row r="7" spans="1:4" ht="42" customHeight="1">
      <c r="A7" s="41" t="s">
        <v>699</v>
      </c>
      <c r="B7" s="41" t="s">
        <v>706</v>
      </c>
      <c r="C7" s="41" t="s">
        <v>707</v>
      </c>
      <c r="D7" s="41" t="s">
        <v>708</v>
      </c>
    </row>
    <row r="8" spans="1:4" ht="42" customHeight="1">
      <c r="A8" s="41" t="s">
        <v>699</v>
      </c>
      <c r="B8" s="41" t="s">
        <v>709</v>
      </c>
      <c r="C8" s="41" t="s">
        <v>710</v>
      </c>
      <c r="D8" s="41" t="s">
        <v>711</v>
      </c>
    </row>
    <row r="9" spans="1:4" ht="42" customHeight="1">
      <c r="A9" s="41" t="s">
        <v>699</v>
      </c>
      <c r="B9" s="41" t="s">
        <v>712</v>
      </c>
      <c r="C9" s="41" t="s">
        <v>713</v>
      </c>
      <c r="D9" s="42" t="s">
        <v>714</v>
      </c>
    </row>
    <row r="10" spans="1:4" ht="42" customHeight="1">
      <c r="A10" s="41" t="s">
        <v>699</v>
      </c>
      <c r="B10" s="41" t="s">
        <v>715</v>
      </c>
      <c r="C10" s="41" t="s">
        <v>716</v>
      </c>
      <c r="D10" s="41" t="s">
        <v>717</v>
      </c>
    </row>
    <row r="11" spans="1:4" ht="42" customHeight="1">
      <c r="A11" s="41" t="s">
        <v>699</v>
      </c>
      <c r="B11" s="41" t="s">
        <v>718</v>
      </c>
      <c r="C11" s="41" t="s">
        <v>719</v>
      </c>
      <c r="D11" s="41" t="s">
        <v>720</v>
      </c>
    </row>
    <row r="12" spans="1:4" ht="42" customHeight="1">
      <c r="A12" s="41" t="s">
        <v>699</v>
      </c>
      <c r="B12" s="41" t="s">
        <v>721</v>
      </c>
      <c r="C12" s="41" t="s">
        <v>722</v>
      </c>
      <c r="D12" s="41" t="s">
        <v>723</v>
      </c>
    </row>
    <row r="13" spans="1:4" ht="42" customHeight="1">
      <c r="A13" s="41" t="s">
        <v>699</v>
      </c>
      <c r="B13" s="41" t="s">
        <v>724</v>
      </c>
      <c r="C13" s="41" t="s">
        <v>725</v>
      </c>
      <c r="D13" s="42" t="s">
        <v>726</v>
      </c>
    </row>
    <row r="14" spans="1:4" ht="42" customHeight="1">
      <c r="A14" s="41" t="s">
        <v>699</v>
      </c>
      <c r="B14" s="41" t="s">
        <v>727</v>
      </c>
      <c r="C14" s="41" t="s">
        <v>728</v>
      </c>
      <c r="D14" s="42" t="s">
        <v>729</v>
      </c>
    </row>
    <row r="15" spans="1:4" ht="42" customHeight="1">
      <c r="A15" s="41" t="s">
        <v>699</v>
      </c>
      <c r="B15" s="42" t="s">
        <v>730</v>
      </c>
      <c r="C15" s="42" t="s">
        <v>731</v>
      </c>
      <c r="D15" s="41" t="s">
        <v>732</v>
      </c>
    </row>
    <row r="16" spans="1:4" ht="42" customHeight="1">
      <c r="A16" s="41" t="s">
        <v>733</v>
      </c>
      <c r="B16" s="41" t="s">
        <v>116</v>
      </c>
      <c r="C16" s="41" t="s">
        <v>734</v>
      </c>
      <c r="D16" s="41" t="s">
        <v>735</v>
      </c>
    </row>
    <row r="17" spans="1:4" ht="42" customHeight="1">
      <c r="A17" s="41" t="s">
        <v>733</v>
      </c>
      <c r="B17" s="41" t="s">
        <v>736</v>
      </c>
      <c r="C17" s="41" t="s">
        <v>737</v>
      </c>
      <c r="D17" s="41" t="s">
        <v>738</v>
      </c>
    </row>
    <row r="18" spans="1:4" ht="42" customHeight="1">
      <c r="A18" s="41" t="s">
        <v>739</v>
      </c>
      <c r="B18" s="41" t="s">
        <v>740</v>
      </c>
      <c r="C18" s="42" t="s">
        <v>741</v>
      </c>
      <c r="D18" s="41" t="s">
        <v>742</v>
      </c>
    </row>
    <row r="19" spans="1:4" ht="55.5" customHeight="1">
      <c r="A19" s="41" t="s">
        <v>739</v>
      </c>
      <c r="B19" s="41" t="s">
        <v>743</v>
      </c>
      <c r="C19" s="43" t="s">
        <v>744</v>
      </c>
      <c r="D19" s="41" t="s">
        <v>745</v>
      </c>
    </row>
    <row r="20" spans="1:4" ht="55.5" customHeight="1">
      <c r="A20" s="50" t="s">
        <v>739</v>
      </c>
      <c r="B20" s="50" t="s">
        <v>746</v>
      </c>
      <c r="C20" s="50" t="s">
        <v>747</v>
      </c>
      <c r="D20" s="50" t="s">
        <v>748</v>
      </c>
    </row>
    <row r="21" spans="1:4" ht="60" customHeight="1">
      <c r="A21" s="56" t="s">
        <v>739</v>
      </c>
      <c r="B21" s="56" t="s">
        <v>749</v>
      </c>
      <c r="C21" s="56" t="s">
        <v>750</v>
      </c>
      <c r="D21" s="56" t="s">
        <v>751</v>
      </c>
    </row>
    <row r="22" spans="1:4" ht="60" customHeight="1">
      <c r="A22" s="56" t="s">
        <v>739</v>
      </c>
      <c r="B22" s="56" t="s">
        <v>752</v>
      </c>
      <c r="C22" s="56" t="s">
        <v>753</v>
      </c>
      <c r="D22" s="56" t="s">
        <v>754</v>
      </c>
    </row>
    <row r="23" spans="1:4" ht="69.95" customHeight="1">
      <c r="A23" s="56" t="s">
        <v>755</v>
      </c>
      <c r="B23" s="56" t="s">
        <v>756</v>
      </c>
      <c r="C23" s="56" t="s">
        <v>757</v>
      </c>
      <c r="D23" s="56" t="s">
        <v>758</v>
      </c>
    </row>
  </sheetData>
  <phoneticPr fontId="27"/>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13</vt:i4>
      </vt:variant>
    </vt:vector>
  </HeadingPairs>
  <TitlesOfParts>
    <vt:vector size="13" baseType="lpstr">
      <vt:lpstr>表紙・凡例</vt:lpstr>
      <vt:lpstr>0_通電前確認</vt:lpstr>
      <vt:lpstr>1_低電圧基本動作</vt:lpstr>
      <vt:lpstr>2_起動波形</vt:lpstr>
      <vt:lpstr>3_熱特性</vt:lpstr>
      <vt:lpstr>4_保護機能</vt:lpstr>
      <vt:lpstr>5_ブレーキチョッパ</vt:lpstr>
      <vt:lpstr>6_走行時総合</vt:lpstr>
      <vt:lpstr>7_GND分離</vt:lpstr>
      <vt:lpstr>8_外部スイッチ・LED</vt:lpstr>
      <vt:lpstr>9_ENしきい値選別</vt:lpstr>
      <vt:lpstr>サマリ</vt:lpstr>
      <vt:lpstr>変更履歴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Takashi Kubota</cp:lastModifiedBy>
  <cp:revision>0</cp:revision>
  <dcterms:created xsi:type="dcterms:W3CDTF">2026-10-05T05:10:17Z</dcterms:created>
  <dcterms:modified xsi:type="dcterms:W3CDTF">2026-10-08T11:16:36Z</dcterms:modified>
  <dc:language>en-US</dc:language>
</cp:coreProperties>
</file>