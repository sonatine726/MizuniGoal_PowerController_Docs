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表紙・凡例" sheetId="1" state="visible" r:id="rId1"/>
    <sheet xmlns:r="http://schemas.openxmlformats.org/officeDocument/2006/relationships" name="0_通電前確認" sheetId="2" state="visible" r:id="rId2"/>
    <sheet xmlns:r="http://schemas.openxmlformats.org/officeDocument/2006/relationships" name="1_3.3V電源" sheetId="3" state="visible" r:id="rId3"/>
    <sheet xmlns:r="http://schemas.openxmlformats.org/officeDocument/2006/relationships" name="2_MCU書き込みと基本動作" sheetId="4" state="visible" r:id="rId4"/>
    <sheet xmlns:r="http://schemas.openxmlformats.org/officeDocument/2006/relationships" name="3_低電圧基本動作" sheetId="5" state="visible" r:id="rId5"/>
    <sheet xmlns:r="http://schemas.openxmlformats.org/officeDocument/2006/relationships" name="4_起動波形" sheetId="6" state="visible" r:id="rId6"/>
    <sheet xmlns:r="http://schemas.openxmlformats.org/officeDocument/2006/relationships" name="5_保護機能（マイコン）" sheetId="7" state="visible" r:id="rId7"/>
    <sheet xmlns:r="http://schemas.openxmlformats.org/officeDocument/2006/relationships" name="6_Q3ゲート保護" sheetId="8" state="visible" r:id="rId8"/>
    <sheet xmlns:r="http://schemas.openxmlformats.org/officeDocument/2006/relationships" name="7_熱特性" sheetId="9" state="visible" r:id="rId9"/>
    <sheet xmlns:r="http://schemas.openxmlformats.org/officeDocument/2006/relationships" name="8_ブレーキチョッパ" sheetId="10" state="visible" r:id="rId10"/>
    <sheet xmlns:r="http://schemas.openxmlformats.org/officeDocument/2006/relationships" name="9_走行時総合" sheetId="11" state="visible" r:id="rId11"/>
    <sheet xmlns:r="http://schemas.openxmlformats.org/officeDocument/2006/relationships" name="10_GND分離" sheetId="12" state="visible" r:id="rId12"/>
    <sheet xmlns:r="http://schemas.openxmlformats.org/officeDocument/2006/relationships" name="11_外部スイッチ・LED" sheetId="13" state="visible" r:id="rId13"/>
    <sheet xmlns:r="http://schemas.openxmlformats.org/officeDocument/2006/relationships" name="12_量産工程" sheetId="14" state="visible" r:id="rId14"/>
    <sheet xmlns:r="http://schemas.openxmlformats.org/officeDocument/2006/relationships" name="13_量産記録" sheetId="15" state="visible" r:id="rId15"/>
    <sheet xmlns:r="http://schemas.openxmlformats.org/officeDocument/2006/relationships" name="サマリ" sheetId="16" state="visible" r:id="rId16"/>
    <sheet xmlns:r="http://schemas.openxmlformats.org/officeDocument/2006/relationships" name="変更履歴" sheetId="17" state="visible" r:id="rId17"/>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0.0;\-0.0;\-"/>
    <numFmt numFmtId="165" formatCode="0.000;\-0.000;\-"/>
  </numFmts>
  <fonts count="19">
    <font>
      <name val="Calibri"/>
      <charset val="1"/>
      <family val="2"/>
      <color theme="1"/>
      <sz val="11"/>
    </font>
    <font>
      <name val="Arial"/>
      <family val="0"/>
      <sz val="10"/>
    </font>
    <font>
      <name val="Arial"/>
      <family val="0"/>
      <sz val="10"/>
    </font>
    <font>
      <name val="Arial"/>
      <family val="0"/>
      <sz val="10"/>
    </font>
    <font>
      <name val="Cambria"/>
      <charset val="1"/>
      <family val="0"/>
      <b val="1"/>
      <sz val="14"/>
    </font>
    <font>
      <name val="Noto Sans CJK SC"/>
      <family val="2"/>
      <b val="1"/>
      <sz val="14"/>
    </font>
    <font>
      <name val="Cambria"/>
      <charset val="1"/>
      <family val="0"/>
      <color rgb="FF666666"/>
      <sz val="9"/>
    </font>
    <font>
      <name val="Noto Sans CJK SC"/>
      <family val="2"/>
      <color rgb="FF666666"/>
      <sz val="9"/>
    </font>
    <font>
      <name val="Noto Sans CJK SC"/>
      <family val="2"/>
      <b val="1"/>
      <sz val="11"/>
    </font>
    <font>
      <name val="Noto Sans CJK SC"/>
      <family val="2"/>
      <sz val="10"/>
    </font>
    <font>
      <name val="Cambria"/>
      <charset val="1"/>
      <family val="0"/>
      <sz val="10"/>
    </font>
    <font>
      <name val="Noto Sans CJK SC"/>
      <family val="2"/>
      <b val="1"/>
      <color rgb="FFC00000"/>
      <sz val="10"/>
    </font>
    <font>
      <name val="Cambria"/>
      <charset val="1"/>
      <family val="0"/>
      <b val="1"/>
      <color rgb="FFC00000"/>
      <sz val="10"/>
    </font>
    <font>
      <name val="Noto Sans CJK SC"/>
      <family val="2"/>
      <b val="1"/>
      <color rgb="FFFFFFFF"/>
      <sz val="11"/>
    </font>
    <font>
      <name val="Cambria"/>
      <charset val="1"/>
      <family val="0"/>
      <b val="1"/>
      <color rgb="FFFFFFFF"/>
      <sz val="11"/>
    </font>
    <font>
      <name val="Cambria"/>
      <charset val="1"/>
      <family val="0"/>
      <color rgb="FF0000FF"/>
      <sz val="10"/>
    </font>
    <font>
      <name val="Noto Sans CJK SC"/>
      <family val="2"/>
      <b val="1"/>
      <sz val="10"/>
    </font>
    <font>
      <name val="Cambria"/>
      <charset val="1"/>
      <family val="0"/>
      <b val="1"/>
      <sz val="11"/>
    </font>
    <font>
      <name val="Cambria"/>
      <charset val="1"/>
      <family val="0"/>
      <b val="1"/>
      <sz val="10"/>
    </font>
  </fonts>
  <fills count="7">
    <fill>
      <patternFill/>
    </fill>
    <fill>
      <patternFill patternType="gray125"/>
    </fill>
    <fill>
      <patternFill patternType="solid">
        <fgColor rgb="FFFFF2CC"/>
        <bgColor rgb="FFFCE4D6"/>
      </patternFill>
    </fill>
    <fill>
      <patternFill patternType="solid">
        <fgColor rgb="FFEAEAEA"/>
        <bgColor rgb="FFD9E2F3"/>
      </patternFill>
    </fill>
    <fill>
      <patternFill patternType="solid">
        <fgColor rgb="FFFCE4D6"/>
        <bgColor rgb="FFFFF2CC"/>
      </patternFill>
    </fill>
    <fill>
      <patternFill patternType="solid">
        <fgColor rgb="FF1F4E79"/>
        <bgColor rgb="FF003366"/>
      </patternFill>
    </fill>
    <fill>
      <patternFill patternType="solid">
        <fgColor rgb="FFD9E2F3"/>
        <bgColor rgb="FFEAEAEA"/>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7">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6"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0" applyAlignment="1" pivotButton="0" quotePrefix="0" xfId="0">
      <alignment horizontal="general" vertical="center" wrapText="1"/>
    </xf>
    <xf numFmtId="0" fontId="9" fillId="2" borderId="0" applyAlignment="1" pivotButton="0" quotePrefix="0" xfId="0">
      <alignment horizontal="general" vertical="bottom"/>
    </xf>
    <xf numFmtId="0" fontId="9" fillId="3" borderId="0" applyAlignment="1" pivotButton="0" quotePrefix="0" xfId="0">
      <alignment horizontal="general" vertical="bottom"/>
    </xf>
    <xf numFmtId="0" fontId="9" fillId="4" borderId="0" applyAlignment="1" pivotButton="0" quotePrefix="0" xfId="0">
      <alignment horizontal="general" vertical="bottom"/>
    </xf>
    <xf numFmtId="0" fontId="10" fillId="0" borderId="0" applyAlignment="1" pivotButton="0" quotePrefix="0" xfId="0">
      <alignment horizontal="general" vertical="bottom"/>
    </xf>
    <xf numFmtId="0" fontId="11" fillId="4" borderId="0" applyAlignment="1" pivotButton="0" quotePrefix="0" xfId="0">
      <alignment horizontal="general" vertical="center" wrapText="1"/>
    </xf>
    <xf numFmtId="0" fontId="9" fillId="0" borderId="0" applyAlignment="1" pivotButton="0" quotePrefix="0" xfId="0">
      <alignment horizontal="general" vertical="center" wrapText="1"/>
    </xf>
    <xf numFmtId="0" fontId="13" fillId="5" borderId="1" applyAlignment="1" pivotButton="0" quotePrefix="0" xfId="0">
      <alignment horizontal="center" vertical="center" wrapText="1"/>
    </xf>
    <xf numFmtId="0" fontId="10" fillId="0" borderId="1" applyAlignment="1" pivotButton="0" quotePrefix="0" xfId="0">
      <alignment horizontal="general" vertical="center" wrapText="1"/>
    </xf>
    <xf numFmtId="0" fontId="9" fillId="0" borderId="1" applyAlignment="1" pivotButton="0" quotePrefix="0" xfId="0">
      <alignment horizontal="general" vertical="center" wrapText="1"/>
    </xf>
    <xf numFmtId="0" fontId="7" fillId="0" borderId="0" applyAlignment="1" pivotButton="0" quotePrefix="0" xfId="0">
      <alignment horizontal="general" vertical="top" wrapText="1"/>
    </xf>
    <xf numFmtId="0" fontId="14" fillId="5" borderId="1" applyAlignment="1" pivotButton="0" quotePrefix="0" xfId="0">
      <alignment horizontal="center" vertical="center" wrapText="1"/>
    </xf>
    <xf numFmtId="0" fontId="10" fillId="0" borderId="1" applyAlignment="1" pivotButton="0" quotePrefix="0" xfId="0">
      <alignment horizontal="center" vertical="center" wrapText="1"/>
    </xf>
    <xf numFmtId="0" fontId="15" fillId="2" borderId="1" applyAlignment="1" pivotButton="0" quotePrefix="0" xfId="0">
      <alignment horizontal="center" vertical="center" wrapText="1"/>
    </xf>
    <xf numFmtId="0" fontId="15" fillId="2" borderId="1" applyAlignment="1" pivotButton="0" quotePrefix="0" xfId="0">
      <alignment horizontal="left" vertical="center" wrapText="1"/>
    </xf>
    <xf numFmtId="0" fontId="6" fillId="0" borderId="0" applyAlignment="1" pivotButton="0" quotePrefix="0" xfId="0">
      <alignment horizontal="general" vertical="center" wrapText="1"/>
    </xf>
    <xf numFmtId="0" fontId="7" fillId="0" borderId="0" applyAlignment="1" pivotButton="0" quotePrefix="0" xfId="0">
      <alignment horizontal="general" vertical="center" wrapText="1"/>
    </xf>
    <xf numFmtId="0" fontId="12" fillId="4" borderId="0" applyAlignment="1" pivotButton="0" quotePrefix="0" xfId="0">
      <alignment horizontal="general" vertical="center" wrapText="1"/>
    </xf>
    <xf numFmtId="0" fontId="6" fillId="0" borderId="0" applyAlignment="1" pivotButton="0" quotePrefix="0" xfId="0">
      <alignment horizontal="general" vertical="top" wrapText="1"/>
    </xf>
    <xf numFmtId="0" fontId="9" fillId="0" borderId="1" applyAlignment="1" pivotButton="0" quotePrefix="0" xfId="0">
      <alignment horizontal="center" vertical="center" wrapText="1"/>
    </xf>
    <xf numFmtId="0" fontId="8" fillId="0" borderId="0" applyAlignment="1" pivotButton="0" quotePrefix="0" xfId="0">
      <alignment horizontal="general" vertical="center" wrapText="1"/>
    </xf>
    <xf numFmtId="0" fontId="16" fillId="6" borderId="1" applyAlignment="1" pivotButton="0" quotePrefix="0" xfId="0">
      <alignment horizontal="center" vertical="center" wrapText="1"/>
    </xf>
    <xf numFmtId="164" fontId="10" fillId="3" borderId="1" applyAlignment="1" pivotButton="0" quotePrefix="0" xfId="0">
      <alignment horizontal="center" vertical="center"/>
    </xf>
    <xf numFmtId="0" fontId="18" fillId="6" borderId="1" applyAlignment="1" pivotButton="0" quotePrefix="0" xfId="0">
      <alignment horizontal="center" vertical="center" wrapText="1"/>
    </xf>
    <xf numFmtId="0" fontId="17" fillId="0" borderId="0" applyAlignment="1" pivotButton="0" quotePrefix="0" xfId="0">
      <alignment horizontal="general" vertical="center" wrapText="1"/>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15" fillId="2" borderId="1" applyAlignment="1" pivotButton="0" quotePrefix="0" xfId="0">
      <alignment horizontal="general" vertical="center" wrapText="1"/>
    </xf>
    <xf numFmtId="0" fontId="5" fillId="0" borderId="0" applyAlignment="1" pivotButton="0" quotePrefix="0" xfId="0">
      <alignment horizontal="general" vertical="bottom"/>
    </xf>
    <xf numFmtId="0" fontId="7" fillId="0" borderId="0" applyAlignment="1" pivotButton="0" quotePrefix="0" xfId="0">
      <alignment horizontal="general" vertical="bottom"/>
    </xf>
    <xf numFmtId="0" fontId="10" fillId="0" borderId="1" applyAlignment="1" pivotButton="0" quotePrefix="0" xfId="0">
      <alignment horizontal="general" vertical="bottom"/>
    </xf>
    <xf numFmtId="0" fontId="10" fillId="3" borderId="1" applyAlignment="1" pivotButton="0" quotePrefix="0" xfId="0">
      <alignment horizontal="center" vertical="bottom"/>
    </xf>
    <xf numFmtId="165" fontId="10" fillId="3" borderId="1" applyAlignment="1" pivotButton="0" quotePrefix="0" xfId="0">
      <alignment horizontal="center" vertical="bottom"/>
    </xf>
    <xf numFmtId="0" fontId="15" fillId="2" borderId="1" applyAlignment="1" pivotButton="0" quotePrefix="0" xfId="0">
      <alignment horizontal="center" vertical="bottom"/>
    </xf>
    <xf numFmtId="0" fontId="6" fillId="0" borderId="1" applyAlignment="1" pivotButton="0" quotePrefix="0" xfId="0">
      <alignment horizontal="general" vertical="bottom"/>
    </xf>
    <xf numFmtId="0" fontId="7" fillId="0" borderId="1" applyAlignment="1" pivotButton="0" quotePrefix="0" xfId="0">
      <alignment horizontal="general" vertical="bottom"/>
    </xf>
    <xf numFmtId="0" fontId="9" fillId="0" borderId="1" applyAlignment="1" pivotButton="0" quotePrefix="0" xfId="0">
      <alignment horizontal="general" vertical="bottom"/>
    </xf>
    <xf numFmtId="0" fontId="10" fillId="0" borderId="1" applyAlignment="1" pivotButton="0" quotePrefix="0" xfId="0">
      <alignment horizontal="center" vertical="bottom"/>
    </xf>
    <xf numFmtId="0" fontId="9" fillId="0" borderId="1" applyAlignment="1" pivotButton="0" quotePrefix="0" xfId="0">
      <alignment horizontal="center" vertical="bottom"/>
    </xf>
    <xf numFmtId="164" fontId="10" fillId="3" borderId="0" applyAlignment="1" pivotButton="0" quotePrefix="0" xfId="0">
      <alignment horizontal="center" vertical="bottom"/>
    </xf>
    <xf numFmtId="0" fontId="0" fillId="2" borderId="1" applyAlignment="1" pivotButton="0" quotePrefix="0" xfId="0">
      <alignment horizontal="general" vertical="bottom"/>
    </xf>
    <xf numFmtId="0" fontId="8" fillId="0" borderId="0" applyAlignment="1" pivotButton="0" quotePrefix="0" xfId="0">
      <alignment horizontal="general" vertical="center"/>
    </xf>
    <xf numFmtId="0" fontId="17" fillId="0" borderId="0" applyAlignment="1" pivotButton="0" quotePrefix="0" xfId="0">
      <alignment horizontal="general" vertical="center"/>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6"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0" applyAlignment="1" pivotButton="0" quotePrefix="0" xfId="0">
      <alignment horizontal="general" vertical="center" wrapText="1"/>
    </xf>
    <xf numFmtId="0" fontId="9" fillId="2" borderId="0" applyAlignment="1" pivotButton="0" quotePrefix="0" xfId="0">
      <alignment horizontal="general" vertical="bottom"/>
    </xf>
    <xf numFmtId="0" fontId="9" fillId="3" borderId="0" applyAlignment="1" pivotButton="0" quotePrefix="0" xfId="0">
      <alignment horizontal="general" vertical="bottom"/>
    </xf>
    <xf numFmtId="0" fontId="9" fillId="4" borderId="0" applyAlignment="1" pivotButton="0" quotePrefix="0" xfId="0">
      <alignment horizontal="general" vertical="bottom"/>
    </xf>
    <xf numFmtId="0" fontId="10" fillId="0" borderId="0" applyAlignment="1" pivotButton="0" quotePrefix="0" xfId="0">
      <alignment horizontal="general" vertical="bottom"/>
    </xf>
    <xf numFmtId="0" fontId="11" fillId="4" borderId="0" applyAlignment="1" pivotButton="0" quotePrefix="0" xfId="0">
      <alignment horizontal="general" vertical="center" wrapText="1"/>
    </xf>
    <xf numFmtId="0" fontId="9" fillId="0" borderId="0" applyAlignment="1" pivotButton="0" quotePrefix="0" xfId="0">
      <alignment horizontal="general" vertical="center" wrapText="1"/>
    </xf>
    <xf numFmtId="0" fontId="13" fillId="5" borderId="1" applyAlignment="1" pivotButton="0" quotePrefix="0" xfId="0">
      <alignment horizontal="center" vertical="center" wrapText="1"/>
    </xf>
    <xf numFmtId="0" fontId="10" fillId="0" borderId="1" applyAlignment="1" pivotButton="0" quotePrefix="0" xfId="0">
      <alignment horizontal="general" vertical="center" wrapText="1"/>
    </xf>
    <xf numFmtId="0" fontId="9" fillId="0" borderId="1" applyAlignment="1" pivotButton="0" quotePrefix="0" xfId="0">
      <alignment horizontal="general" vertical="center" wrapText="1"/>
    </xf>
    <xf numFmtId="0" fontId="7" fillId="0" borderId="0" applyAlignment="1" pivotButton="0" quotePrefix="0" xfId="0">
      <alignment horizontal="general" vertical="top" wrapText="1"/>
    </xf>
    <xf numFmtId="0" fontId="14" fillId="5" borderId="1" applyAlignment="1" pivotButton="0" quotePrefix="0" xfId="0">
      <alignment horizontal="center" vertical="center" wrapText="1"/>
    </xf>
    <xf numFmtId="0" fontId="10" fillId="0" borderId="1" applyAlignment="1" pivotButton="0" quotePrefix="0" xfId="0">
      <alignment horizontal="center" vertical="center" wrapText="1"/>
    </xf>
    <xf numFmtId="0" fontId="15" fillId="2" borderId="1" applyAlignment="1" pivotButton="0" quotePrefix="0" xfId="0">
      <alignment horizontal="center" vertical="center" wrapText="1"/>
    </xf>
    <xf numFmtId="0" fontId="15" fillId="2" borderId="1" applyAlignment="1" pivotButton="0" quotePrefix="0" xfId="0">
      <alignment horizontal="left" vertical="center" wrapText="1"/>
    </xf>
    <xf numFmtId="0" fontId="6" fillId="0" borderId="0" applyAlignment="1" pivotButton="0" quotePrefix="0" xfId="0">
      <alignment horizontal="general" vertical="center" wrapText="1"/>
    </xf>
    <xf numFmtId="0" fontId="7" fillId="0" borderId="0" applyAlignment="1" pivotButton="0" quotePrefix="0" xfId="0">
      <alignment horizontal="general" vertical="center" wrapText="1"/>
    </xf>
    <xf numFmtId="0" fontId="12" fillId="4" borderId="0" applyAlignment="1" pivotButton="0" quotePrefix="0" xfId="0">
      <alignment horizontal="general" vertical="center" wrapText="1"/>
    </xf>
    <xf numFmtId="0" fontId="6" fillId="0" borderId="0" applyAlignment="1" pivotButton="0" quotePrefix="0" xfId="0">
      <alignment horizontal="general" vertical="top" wrapText="1"/>
    </xf>
    <xf numFmtId="0" fontId="9" fillId="0" borderId="1" applyAlignment="1" pivotButton="0" quotePrefix="0" xfId="0">
      <alignment horizontal="center" vertical="center" wrapText="1"/>
    </xf>
    <xf numFmtId="0" fontId="8" fillId="0" borderId="0" applyAlignment="1" pivotButton="0" quotePrefix="0" xfId="0">
      <alignment horizontal="general" vertical="center" wrapText="1"/>
    </xf>
    <xf numFmtId="0" fontId="16" fillId="6" borderId="1" applyAlignment="1" pivotButton="0" quotePrefix="0" xfId="0">
      <alignment horizontal="center" vertical="center" wrapText="1"/>
    </xf>
    <xf numFmtId="164" fontId="10" fillId="3" borderId="1" applyAlignment="1" pivotButton="0" quotePrefix="0" xfId="0">
      <alignment horizontal="center" vertical="center"/>
    </xf>
    <xf numFmtId="0" fontId="18" fillId="6" borderId="1" applyAlignment="1" pivotButton="0" quotePrefix="0" xfId="0">
      <alignment horizontal="center" vertical="center" wrapText="1"/>
    </xf>
    <xf numFmtId="0" fontId="17" fillId="0" borderId="0" applyAlignment="1" pivotButton="0" quotePrefix="0" xfId="0">
      <alignment horizontal="general" vertical="center" wrapText="1"/>
    </xf>
    <xf numFmtId="0" fontId="7" fillId="0" borderId="0" applyAlignment="1" pivotButton="0" quotePrefix="0" xfId="0">
      <alignment horizontal="general" vertical="bottom"/>
    </xf>
    <xf numFmtId="0" fontId="15" fillId="2" borderId="1" applyAlignment="1" pivotButton="0" quotePrefix="0" xfId="0">
      <alignment horizontal="general" vertical="center" wrapText="1"/>
    </xf>
    <xf numFmtId="0" fontId="5" fillId="0" borderId="0" applyAlignment="1" pivotButton="0" quotePrefix="0" xfId="0">
      <alignment horizontal="general" vertical="bottom"/>
    </xf>
    <xf numFmtId="0" fontId="10" fillId="0" borderId="1" applyAlignment="1" pivotButton="0" quotePrefix="0" xfId="0">
      <alignment horizontal="general" vertical="bottom"/>
    </xf>
    <xf numFmtId="0" fontId="10" fillId="3" borderId="1" applyAlignment="1" pivotButton="0" quotePrefix="0" xfId="0">
      <alignment horizontal="center" vertical="bottom"/>
    </xf>
    <xf numFmtId="165" fontId="10" fillId="3" borderId="1" applyAlignment="1" pivotButton="0" quotePrefix="0" xfId="0">
      <alignment horizontal="center" vertical="bottom"/>
    </xf>
    <xf numFmtId="0" fontId="15" fillId="2" borderId="1" applyAlignment="1" pivotButton="0" quotePrefix="0" xfId="0">
      <alignment horizontal="center" vertical="bottom"/>
    </xf>
    <xf numFmtId="0" fontId="6" fillId="0" borderId="1" applyAlignment="1" pivotButton="0" quotePrefix="0" xfId="0">
      <alignment horizontal="general" vertical="bottom"/>
    </xf>
    <xf numFmtId="0" fontId="7" fillId="0" borderId="1" applyAlignment="1" pivotButton="0" quotePrefix="0" xfId="0">
      <alignment horizontal="general" vertical="bottom"/>
    </xf>
    <xf numFmtId="0" fontId="9" fillId="0" borderId="1" applyAlignment="1" pivotButton="0" quotePrefix="0" xfId="0">
      <alignment horizontal="general" vertical="bottom"/>
    </xf>
    <xf numFmtId="0" fontId="10" fillId="0" borderId="1" applyAlignment="1" pivotButton="0" quotePrefix="0" xfId="0">
      <alignment horizontal="center" vertical="bottom"/>
    </xf>
    <xf numFmtId="0" fontId="0" fillId="0" borderId="4" pivotButton="0" quotePrefix="0" xfId="0"/>
    <xf numFmtId="0" fontId="0" fillId="0" borderId="5" pivotButton="0" quotePrefix="0" xfId="0"/>
    <xf numFmtId="0" fontId="9" fillId="0" borderId="1" applyAlignment="1" pivotButton="0" quotePrefix="0" xfId="0">
      <alignment horizontal="center" vertical="bottom"/>
    </xf>
    <xf numFmtId="164" fontId="10" fillId="3" borderId="0" applyAlignment="1" pivotButton="0" quotePrefix="0" xfId="0">
      <alignment horizontal="center" vertical="bottom"/>
    </xf>
    <xf numFmtId="0" fontId="0" fillId="2" borderId="1" applyAlignment="1" pivotButton="0" quotePrefix="0" xfId="0">
      <alignment horizontal="general" vertical="bottom"/>
    </xf>
    <xf numFmtId="0" fontId="8" fillId="0" borderId="0" applyAlignment="1" pivotButton="0" quotePrefix="0" xfId="0">
      <alignment horizontal="general" vertical="center"/>
    </xf>
    <xf numFmtId="0" fontId="17" fillId="0" borderId="0" applyAlignment="1" pivotButton="0" quotePrefix="0" xfId="0">
      <alignment horizontal="general"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AEAEA"/>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F6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48" min="1" max="1"/>
    <col width="26" customWidth="1" style="48" min="2" max="2"/>
    <col width="48" customWidth="1" style="48" min="3" max="3"/>
    <col width="20" customWidth="1" style="48" min="4" max="4"/>
    <col width="14" customWidth="1" style="48" min="5" max="5"/>
  </cols>
  <sheetData>
    <row r="2" ht="21" customHeight="1" s="49">
      <c r="B2" s="50" t="inlineStr">
        <is>
          <t>MizuniGoal Power Controller v3.0.0　試験記録シート</t>
        </is>
      </c>
    </row>
    <row r="3" ht="15" customHeight="1" s="49">
      <c r="B3" s="51" t="inlineStr">
        <is>
          <t>7S4P LiPo 2並列ホットスワップ電源基板／マイコン保護化（v2.1.1 → v3.0.0）</t>
        </is>
      </c>
    </row>
    <row r="5" ht="15" customHeight="1" s="49">
      <c r="B5" s="52" t="inlineStr">
        <is>
          <t>基板情報</t>
        </is>
      </c>
    </row>
    <row r="6" ht="17.25" customHeight="1" s="49">
      <c r="B6" s="53" t="inlineStr">
        <is>
          <t>基板 No.</t>
        </is>
      </c>
      <c r="C6" s="54" t="inlineStr">
        <is>
          <t>3 号機（v3.0.0 初号基板。1 号機は 2026-10-08 に Q3 破壊、2 号機は v2.1.1 のまま試験用に保持）</t>
        </is>
      </c>
    </row>
    <row r="7" ht="17.25" customHeight="1" s="49">
      <c r="B7" s="53" t="inlineStr">
        <is>
          <t>基板バージョン</t>
        </is>
      </c>
      <c r="C7" s="54" t="inlineStr">
        <is>
          <t>v3.0.0</t>
        </is>
      </c>
    </row>
    <row r="8" ht="15" customHeight="1" s="49">
      <c r="B8" s="53" t="inlineStr">
        <is>
          <t>実装日</t>
        </is>
      </c>
      <c r="C8" s="54" t="n"/>
    </row>
    <row r="9" ht="17.25" customHeight="1" s="49">
      <c r="B9" s="53" t="inlineStr">
        <is>
          <t>実装方法</t>
        </is>
      </c>
      <c r="C9" s="54" t="inlineStr">
        <is>
          <t>PCBA（SMD 118 点、J7 を含む）＋ 手実装／THT（J1 / J2 / J3 / J4 / J5 / J6 / J8 の 7 点）</t>
        </is>
      </c>
    </row>
    <row r="10" ht="17.25" customHeight="1" s="49">
      <c r="B10" s="53" t="inlineStr">
        <is>
          <t>銅厚</t>
        </is>
      </c>
      <c r="C10" s="54" t="inlineStr">
        <is>
          <t>1oz</t>
        </is>
      </c>
    </row>
    <row r="11" ht="17.25" customHeight="1" s="49">
      <c r="B11" s="53" t="inlineStr">
        <is>
          <t>表面仕上げ</t>
        </is>
      </c>
      <c r="C11" s="54" t="inlineStr">
        <is>
          <t>ENIG</t>
        </is>
      </c>
    </row>
    <row r="12" ht="15" customHeight="1" s="49">
      <c r="B12" s="53" t="inlineStr">
        <is>
          <t>ファームウェア版数</t>
        </is>
      </c>
      <c r="C12" s="54" t="n"/>
    </row>
    <row r="13" ht="15" customHeight="1" s="49">
      <c r="B13" s="53" t="inlineStr">
        <is>
          <t>試験実施者</t>
        </is>
      </c>
      <c r="C13" s="54" t="n"/>
    </row>
    <row r="14" ht="15" customHeight="1" s="49">
      <c r="B14" s="53" t="inlineStr">
        <is>
          <t>試験実施日</t>
        </is>
      </c>
      <c r="C14" s="54" t="n"/>
    </row>
    <row r="16" ht="15" customHeight="1" s="49">
      <c r="B16" s="52" t="inlineStr">
        <is>
          <t>凡例</t>
        </is>
      </c>
    </row>
    <row r="17" ht="15" customHeight="1" s="49">
      <c r="B17" s="55" t="inlineStr">
        <is>
          <t>黄色セル</t>
        </is>
      </c>
      <c r="C17" s="53" t="inlineStr">
        <is>
          <t>記入欄。ここだけ入力してください</t>
        </is>
      </c>
    </row>
    <row r="18" ht="15" customHeight="1" s="49">
      <c r="B18" s="56" t="inlineStr">
        <is>
          <t>灰色セル</t>
        </is>
      </c>
      <c r="C18" s="53" t="inlineStr">
        <is>
          <t>自動計算。数式が入っているので編集しないでください</t>
        </is>
      </c>
    </row>
    <row r="19" ht="15" customHeight="1" s="49">
      <c r="B19" s="57" t="inlineStr">
        <is>
          <t>橙色の行</t>
        </is>
      </c>
      <c r="C19" s="53" t="inlineStr">
        <is>
          <t>安全上の注意または手順の順序に関する警告</t>
        </is>
      </c>
    </row>
    <row r="20" ht="15" customHeight="1" s="49">
      <c r="B20" s="53" t="inlineStr">
        <is>
          <t>判定列</t>
        </is>
      </c>
      <c r="C20" s="58" t="inlineStr">
        <is>
          <t>OK / NG / 未実施 をドロップダウンから選択</t>
        </is>
      </c>
    </row>
    <row r="22" ht="15" customHeight="1" s="49">
      <c r="B22" s="52" t="inlineStr">
        <is>
          <t>安全上の注意・ブリングアップ手順</t>
        </is>
      </c>
    </row>
    <row r="23" ht="75" customHeight="1" s="49">
      <c r="B23" s="59" t="inlineStr">
        <is>
          <t>★【最重要・ブリングアップ】マイコンが未書込みの基板は Vout が出ません。これは故障ではなく設計どおりです。未書込みのチップは GPIO が Hi-Z のため PA5（SHDN_REQ）が浮き、R42（1MΩ）が EN_GATE を +3V3 へ引き上げて Q6（BSS138）が ON になり、EN が GND に落ちて LM5060 が遮断します。JP1 をはんだブリッジすると EN_GATE が GND に固定され Q6 が強制 OFF になるので、ファームウェアが無い状態でも電源部だけを単体で動かせます。★ 書き込み後は必ず JP1 を開放に戻してください。ブリッジしたままだとマイコンによる遮断（サーマル保護・短絡検出・非常停止のソフト側）が一切効きません。</t>
        </is>
      </c>
    </row>
    <row r="24" ht="46.5" customHeight="1" s="49">
      <c r="B24" s="59" t="inlineStr">
        <is>
          <t>★ 出力（Vout − GND）を短絡させないこと。1 号機はこれで Q3 のゲート酸化膜が破壊されました。電源の電流制限は無関係で、上流コンデンサの電荷（MDDS30 接続時 1.45J）が原因です。v3.0.0 では R51 / D12 を追加しましたが、MDDS30 を接続した状態での短絡はなお想定外です。MDDS30 の端子付近でプローブを扱う作業は、必ず電源を落とし放電してから行ってください。</t>
        </is>
      </c>
    </row>
    <row r="25" ht="31.5" customHeight="1" s="49">
      <c r="B25" s="60" t="inlineStr">
        <is>
          <t>・7S LiPo は短絡時に数百 A を供給します。フェーズ 0〜5 は可変電源（電流制限付き）で確認し、パック接続はフェーズ 7 以降にしてください。</t>
        </is>
      </c>
    </row>
    <row r="26" ht="31.5" customHeight="1" s="49">
      <c r="B26" s="60" t="inlineStr">
        <is>
          <t>・VB+ / VB− をドライバ等の金属で短絡しないこと。29V は感電しない電圧ですが、1.45J は工具の先端を溶着させるのに十分です。</t>
        </is>
      </c>
    </row>
    <row r="27" ht="31.5" customHeight="1" s="49">
      <c r="B27" s="60" t="inlineStr">
        <is>
          <t>・フェーズ 7 の 25A ストール試験では消火器を手元に置き、目を離さないこと。初回は 15A 程度から段階的に上げてください。</t>
        </is>
      </c>
    </row>
    <row r="28" ht="46.5" customHeight="1" s="49">
      <c r="B28" s="60" t="inlineStr">
        <is>
          <t>・R11（200Ω）の連続導通は 5.2W。実効熱抵抗 18℃/W 前後（v2.1.1 実測）では周囲 65℃ で平衡 158℃ となり最高使用温度 150℃ を超えます。試験時は 120℃ を上限に中止してください。v3.0.0 では TH2 とファームウェア #5 / #6 がこれを止める構成ですが、その保護自体を検証する試験（5-6 / 5-16）では必ず温度を監視してください。</t>
        </is>
      </c>
    </row>
    <row r="29" ht="31.5" customHeight="1" s="49">
      <c r="B29" s="60" t="inlineStr">
        <is>
          <t>・11-8 の LED 線短絡試験と 5-11 の出力短絡試験は意図的な短絡です。必ず電流制限付き電源で、パックと MDDS30 を外して実施してください。</t>
        </is>
      </c>
    </row>
    <row r="30" ht="31.5" customHeight="1" s="49">
      <c r="B30" s="60" t="inlineStr">
        <is>
          <t>・フェーズ 3 以降は、待機電流測定を除き非常停止ボタンを解除（スイッチ ON）した状態で実施してください。J4 の接点は NC で、押下中は EN 経路が開いて Vout が出ません。</t>
        </is>
      </c>
    </row>
    <row r="31" ht="31.5" customHeight="1" s="49">
      <c r="B31" s="60" t="inlineStr">
        <is>
          <t>・SWD デバッグ中にブレークポイントで止めると、GPIO の出力レジスタは保持されるため PA5 は Low（運転）のままで、サーマル監視ループだけが停止します。MDDS30 を外すか電流制限付き電源で行い、モータを繋いだまま長時間ブレークしないこと。</t>
        </is>
      </c>
    </row>
    <row r="32" ht="31.5" customHeight="1" s="49">
      <c r="B32" s="60" t="inlineStr">
        <is>
          <t>・互換 ST-LINK には 3.3V の隣に 5V が出ているものがあります。J6 を 1 ピンずらして挿すと 3.3V レールに 5V が入り IC6 が破壊されます。pin1（角パッド側・上端）の位置をシルクで必ず確認してください。J6 は v3.0.0 では PCBA で実装済みです。</t>
        </is>
      </c>
    </row>
    <row r="34" ht="15" customHeight="1" s="49">
      <c r="B34" s="52" t="inlineStr">
        <is>
          <t>試験の実施順序</t>
        </is>
      </c>
    </row>
    <row r="35" ht="27.75" customHeight="1" s="49">
      <c r="B35" s="61" t="inlineStr">
        <is>
          <t>フェーズ</t>
        </is>
      </c>
      <c r="C35" s="61" t="inlineStr">
        <is>
          <t>シート</t>
        </is>
      </c>
      <c r="D35" s="61" t="inlineStr">
        <is>
          <t>電源</t>
        </is>
      </c>
      <c r="E35" s="61" t="inlineStr">
        <is>
          <t>パック</t>
        </is>
      </c>
      <c r="F35" s="61" t="inlineStr">
        <is>
          <t>実施条件</t>
        </is>
      </c>
    </row>
    <row r="36" ht="24" customHeight="1" s="49">
      <c r="B36" s="62" t="inlineStr">
        <is>
          <t>0</t>
        </is>
      </c>
      <c r="C36" s="62" t="inlineStr">
        <is>
          <t>0_通電前確認</t>
        </is>
      </c>
      <c r="D36" s="63" t="inlineStr">
        <is>
          <t>なし</t>
        </is>
      </c>
      <c r="E36" s="63" t="inlineStr">
        <is>
          <t>なし</t>
        </is>
      </c>
      <c r="F36" s="63" t="inlineStr">
        <is>
          <t>無通電。ここで異常があれば通電しない</t>
        </is>
      </c>
    </row>
    <row r="37" ht="24" customHeight="1" s="49">
      <c r="B37" s="62" t="inlineStr">
        <is>
          <t>1</t>
        </is>
      </c>
      <c r="C37" s="62" t="inlineStr">
        <is>
          <t>1_3.3V電源</t>
        </is>
      </c>
      <c r="D37" s="63" t="inlineStr">
        <is>
          <t>可変電源 12〜35V / 0.3A 制限</t>
        </is>
      </c>
      <c r="E37" s="63" t="inlineStr">
        <is>
          <t>なし</t>
        </is>
      </c>
      <c r="F37" s="62" t="inlineStr">
        <is>
          <t>★ Vout は出ない状態で実施（これが正常）</t>
        </is>
      </c>
    </row>
    <row r="38" ht="24" customHeight="1" s="49">
      <c r="B38" s="62" t="inlineStr">
        <is>
          <t>2</t>
        </is>
      </c>
      <c r="C38" s="62" t="inlineStr">
        <is>
          <t>2_MCU書き込みと基本動作</t>
        </is>
      </c>
      <c r="D38" s="63" t="inlineStr">
        <is>
          <t>可変電源 24V / 0.5A 制限</t>
        </is>
      </c>
      <c r="E38" s="63" t="inlineStr">
        <is>
          <t>なし</t>
        </is>
      </c>
      <c r="F38" s="62" t="inlineStr">
        <is>
          <t>JP1 の扱いが本フェーズの要点</t>
        </is>
      </c>
    </row>
    <row r="39" ht="24" customHeight="1" s="49">
      <c r="B39" s="62" t="inlineStr">
        <is>
          <t>3</t>
        </is>
      </c>
      <c r="C39" s="62" t="inlineStr">
        <is>
          <t>3_低電圧基本動作</t>
        </is>
      </c>
      <c r="D39" s="63" t="inlineStr">
        <is>
          <t>可変電源 0〜35V / 0.5A 制限</t>
        </is>
      </c>
      <c r="E39" s="63" t="inlineStr">
        <is>
          <t>なし</t>
        </is>
      </c>
      <c r="F39" s="62" t="inlineStr">
        <is>
          <t>MDDS30 未接続</t>
        </is>
      </c>
    </row>
    <row r="40" ht="24" customHeight="1" s="49">
      <c r="B40" s="62" t="inlineStr">
        <is>
          <t>4</t>
        </is>
      </c>
      <c r="C40" s="62" t="inlineStr">
        <is>
          <t>4_起動波形</t>
        </is>
      </c>
      <c r="D40" s="63" t="inlineStr">
        <is>
          <t>可変電源 29.4V / ★3A 以上</t>
        </is>
      </c>
      <c r="E40" s="63" t="inlineStr">
        <is>
          <t>なし</t>
        </is>
      </c>
      <c r="F40" s="62" t="inlineStr">
        <is>
          <t>MDDS30 接続。電流制限不足は測定を無効にする</t>
        </is>
      </c>
    </row>
    <row r="41" ht="24" customHeight="1" s="49">
      <c r="B41" s="62" t="inlineStr">
        <is>
          <t>5</t>
        </is>
      </c>
      <c r="C41" s="62" t="inlineStr">
        <is>
          <t>5_保護機能（マイコン）</t>
        </is>
      </c>
      <c r="D41" s="63" t="inlineStr">
        <is>
          <t>可変電源 24V / 0.5A 制限</t>
        </is>
      </c>
      <c r="E41" s="63" t="inlineStr">
        <is>
          <t>なし</t>
        </is>
      </c>
      <c r="F41" s="62" t="inlineStr">
        <is>
          <t>5-10 の短絡試験は MDDS30 も外す</t>
        </is>
      </c>
    </row>
    <row r="42" ht="24" customHeight="1" s="49">
      <c r="B42" s="62" t="inlineStr">
        <is>
          <t>6</t>
        </is>
      </c>
      <c r="C42" s="62" t="inlineStr">
        <is>
          <t>6_Q3ゲート保護</t>
        </is>
      </c>
      <c r="D42" s="63" t="inlineStr">
        <is>
          <t>可変電源 29.4V / 0.5A 制限</t>
        </is>
      </c>
      <c r="E42" s="63" t="inlineStr">
        <is>
          <t>なし</t>
        </is>
      </c>
      <c r="F42" s="62" t="inlineStr">
        <is>
          <t>6-4 は MDDS30 を外して実施</t>
        </is>
      </c>
    </row>
    <row r="43" ht="24" customHeight="1" s="49">
      <c r="B43" s="62" t="inlineStr">
        <is>
          <t>7</t>
        </is>
      </c>
      <c r="C43" s="62" t="inlineStr">
        <is>
          <t>7_熱特性 / 8_ブレーキチョッパ</t>
        </is>
      </c>
      <c r="D43" s="63" t="inlineStr">
        <is>
          <t>パックまたは大容量電源</t>
        </is>
      </c>
      <c r="E43" s="63" t="inlineStr">
        <is>
          <t>接続</t>
        </is>
      </c>
      <c r="F43" s="63" t="inlineStr">
        <is>
          <t>実走行。消火器を手元に</t>
        </is>
      </c>
    </row>
    <row r="44" ht="24" customHeight="1" s="49">
      <c r="B44" s="62" t="inlineStr">
        <is>
          <t>8</t>
        </is>
      </c>
      <c r="C44" s="62" t="inlineStr">
        <is>
          <t>9_走行時総合 / 10_GND分離 / 11_外部スイッチ・LED</t>
        </is>
      </c>
      <c r="D44" s="63" t="inlineStr">
        <is>
          <t>パック</t>
        </is>
      </c>
      <c r="E44" s="63" t="inlineStr">
        <is>
          <t>接続</t>
        </is>
      </c>
      <c r="F44" s="63" t="inlineStr">
        <is>
          <t>実走行。11-7 のみ電流制限付き電源</t>
        </is>
      </c>
    </row>
    <row r="45" ht="24" customHeight="1" s="49">
      <c r="B45" s="62" t="inlineStr">
        <is>
          <t>—</t>
        </is>
      </c>
      <c r="C45" s="62" t="inlineStr">
        <is>
          <t>12_量産工程 / 13_量産記録</t>
        </is>
      </c>
      <c r="D45" s="63" t="inlineStr">
        <is>
          <t>可変電源 24V / 0.2A 制限</t>
        </is>
      </c>
      <c r="E45" s="63" t="inlineStr">
        <is>
          <t>なし</t>
        </is>
      </c>
      <c r="F45" s="63" t="inlineStr">
        <is>
          <t>★試作では使わない。300 枚ロットの量産工程（全数 P-1〜P-7 ＋ 抜取り）</t>
        </is>
      </c>
    </row>
    <row r="47" ht="15" customHeight="1" s="49">
      <c r="B47" s="52" t="inlineStr">
        <is>
          <t>必要機材</t>
        </is>
      </c>
    </row>
    <row r="48" ht="17.25" customHeight="1" s="49">
      <c r="B48" s="61" t="inlineStr">
        <is>
          <t>機材</t>
        </is>
      </c>
      <c r="C48" s="61" t="inlineStr">
        <is>
          <t>用途</t>
        </is>
      </c>
      <c r="D48" s="61" t="inlineStr">
        <is>
          <t>必須度</t>
        </is>
      </c>
    </row>
    <row r="49" ht="31.5" customHeight="1" s="49">
      <c r="B49" s="63" t="inlineStr">
        <is>
          <t>オシロスコープ（2ch 以上）</t>
        </is>
      </c>
      <c r="C49" s="63" t="inlineStr">
        <is>
          <t>起動波形、チョッパ動作、回生プロファイル、3.3V の SW 波形とリプル</t>
        </is>
      </c>
      <c r="D49" s="63" t="inlineStr">
        <is>
          <t>必須</t>
        </is>
      </c>
    </row>
    <row r="50" ht="31.5" customHeight="1" s="49">
      <c r="B50" s="63" t="inlineStr">
        <is>
          <t>プローブ 2 本＋グランドスプリング</t>
        </is>
      </c>
      <c r="C50" s="62" t="inlineStr">
        <is>
          <t>TP 隣接の GND を活かすため。3.3V のリプル測定にはスプリング必須</t>
        </is>
      </c>
      <c r="D50" s="63" t="inlineStr">
        <is>
          <t>必須</t>
        </is>
      </c>
    </row>
    <row r="51" ht="17.25" customHeight="1" s="49">
      <c r="B51" s="63" t="inlineStr">
        <is>
          <t>デジタルマルチメータ</t>
        </is>
      </c>
      <c r="C51" s="63" t="inlineStr">
        <is>
          <t>電圧・抵抗の静的確認</t>
        </is>
      </c>
      <c r="D51" s="63" t="inlineStr">
        <is>
          <t>必須</t>
        </is>
      </c>
    </row>
    <row r="52" ht="31.5" customHeight="1" s="49">
      <c r="B52" s="62" t="inlineStr">
        <is>
          <t>ST-LINK V2 / V3（または互換品）</t>
        </is>
      </c>
      <c r="C52" s="62" t="inlineStr">
        <is>
          <t>IC6 の書き込みとデバッグ。4 線ケーブル（SWDIO / SWCLK / NRST / GND）を用意</t>
        </is>
      </c>
      <c r="D52" s="63" t="inlineStr">
        <is>
          <t>必須</t>
        </is>
      </c>
    </row>
    <row r="53" ht="31.5" customHeight="1" s="49">
      <c r="B53" s="63" t="inlineStr">
        <is>
          <t>（予備）2.54mm ピンヘッダ 1×5</t>
        </is>
      </c>
      <c r="C53" s="62" t="inlineStr">
        <is>
          <t>J6 は PCBA で実装済み（XFCN PZ254V-11-05P / C492404）。破損時の交換用</t>
        </is>
      </c>
      <c r="D53" s="63" t="inlineStr">
        <is>
          <t>あれば有用</t>
        </is>
      </c>
    </row>
    <row r="54" ht="17.25" customHeight="1" s="49">
      <c r="B54" s="62" t="inlineStr">
        <is>
          <t>2ch 熱電対温度計（K型・細線プローブ2本）</t>
        </is>
      </c>
      <c r="C54" s="62" t="inlineStr">
        <is>
          <t>Q1 / Q3 と TH1 の温度差</t>
        </is>
      </c>
      <c r="D54" s="63" t="inlineStr">
        <is>
          <t>必須</t>
        </is>
      </c>
    </row>
    <row r="55" ht="31.5" customHeight="1" s="49">
      <c r="B55" s="63" t="inlineStr">
        <is>
          <t>サーマルカメラ</t>
        </is>
      </c>
      <c r="C55" s="62" t="inlineStr">
        <is>
          <t>R11 のフランジ温度、基板上の熱の広がり、IC6 周辺温度</t>
        </is>
      </c>
      <c r="D55" s="63" t="inlineStr">
        <is>
          <t>必須</t>
        </is>
      </c>
    </row>
    <row r="56" ht="31.5" customHeight="1" s="49">
      <c r="B56" s="62" t="inlineStr">
        <is>
          <t>LCR メータ（100Hz 測定が可能なもの）</t>
        </is>
      </c>
      <c r="C56" s="62" t="inlineStr">
        <is>
          <t>MDDS30 の入力容量測定。1kHz では大容量電解を測れません</t>
        </is>
      </c>
      <c r="D56" s="63" t="inlineStr">
        <is>
          <t>必須</t>
        </is>
      </c>
    </row>
    <row r="57" ht="17.25" customHeight="1" s="49">
      <c r="B57" s="62" t="inlineStr">
        <is>
          <t>DMM の容量レンジ または LCR</t>
        </is>
      </c>
      <c r="C57" s="62" t="inlineStr">
        <is>
          <t>4-7 の TP5 − TP2 間容量（約 46.7nF）の確認</t>
        </is>
      </c>
      <c r="D57" s="63" t="inlineStr">
        <is>
          <t>必須</t>
        </is>
      </c>
    </row>
    <row r="58" ht="31.5" customHeight="1" s="49">
      <c r="B58" s="63" t="inlineStr">
        <is>
          <t>可変電源（0〜35V、3A 以上、電流制限付き）</t>
        </is>
      </c>
      <c r="C58" s="63" t="inlineStr">
        <is>
          <t>段階確認と起動波形。★起動波形は 3A 以上必須（2-x 参照）</t>
        </is>
      </c>
      <c r="D58" s="63" t="inlineStr">
        <is>
          <t>必須</t>
        </is>
      </c>
    </row>
    <row r="59" ht="17.25" customHeight="1" s="49">
      <c r="B59" s="63" t="inlineStr">
        <is>
          <t>クランプメータ（30A 以上）</t>
        </is>
      </c>
      <c r="C59" s="63" t="inlineStr">
        <is>
          <t>ストール電流の実測</t>
        </is>
      </c>
      <c r="D59" s="63" t="inlineStr">
        <is>
          <t>必須</t>
        </is>
      </c>
    </row>
    <row r="60" ht="17.25" customHeight="1" s="49">
      <c r="B60" s="63" t="inlineStr">
        <is>
          <t>ヒートガン／ドライヤー</t>
        </is>
      </c>
      <c r="C60" s="62" t="inlineStr">
        <is>
          <t>TH1 / TH2 の加熱試験</t>
        </is>
      </c>
      <c r="D60" s="63" t="inlineStr">
        <is>
          <t>必須</t>
        </is>
      </c>
    </row>
    <row r="61" ht="17.25" customHeight="1" s="49">
      <c r="B61" s="63" t="inlineStr">
        <is>
          <t>温度計</t>
        </is>
      </c>
      <c r="C61" s="63" t="inlineStr">
        <is>
          <t>筐体内周囲温度の実測</t>
        </is>
      </c>
      <c r="D61" s="63" t="inlineStr">
        <is>
          <t>必須</t>
        </is>
      </c>
    </row>
    <row r="62" ht="17.25" customHeight="1" s="49">
      <c r="B62" s="63" t="inlineStr">
        <is>
          <t>ルーペ（8〜10倍、LED付）</t>
        </is>
      </c>
      <c r="C62" s="63" t="inlineStr">
        <is>
          <t>実装状態の確認</t>
        </is>
      </c>
      <c r="D62" s="63" t="inlineStr">
        <is>
          <t>必須</t>
        </is>
      </c>
    </row>
    <row r="63" ht="31.5" customHeight="1" s="49">
      <c r="B63" s="62" t="inlineStr">
        <is>
          <t>1kΩ / 3W の放電抵抗（ブリーダ）</t>
        </is>
      </c>
      <c r="C63" s="63" t="inlineStr">
        <is>
          <t>試行間の MDDS30 入力容量の放電。時定数 3.6s、15 秒で 0.5V 以下</t>
        </is>
      </c>
      <c r="D63" s="63" t="inlineStr">
        <is>
          <t>必須</t>
        </is>
      </c>
    </row>
    <row r="64" ht="17.25" customHeight="1" s="49">
      <c r="B64" s="63" t="inlineStr">
        <is>
          <t>電子負荷または抵抗負荷</t>
        </is>
      </c>
      <c r="C64" s="63" t="inlineStr">
        <is>
          <t>段階的な負荷試験</t>
        </is>
      </c>
      <c r="D64" s="63" t="inlineStr">
        <is>
          <t>あれば有用</t>
        </is>
      </c>
    </row>
    <row r="65" ht="17.25" customHeight="1" s="49">
      <c r="B65" s="62" t="inlineStr">
        <is>
          <t>µA が読める電流計（または電源の µA 表示）</t>
        </is>
      </c>
      <c r="C65" s="63" t="inlineStr">
        <is>
          <t>待機電流（再計算後の暫定 460µA）の確認</t>
        </is>
      </c>
      <c r="D65" s="63" t="inlineStr">
        <is>
          <t>あれば有用</t>
        </is>
      </c>
    </row>
  </sheetData>
  <mergeCells count="19">
    <mergeCell ref="B30:E30"/>
    <mergeCell ref="C9:E9"/>
    <mergeCell ref="B24:E24"/>
    <mergeCell ref="C12:E12"/>
    <mergeCell ref="B32:E32"/>
    <mergeCell ref="B26:E26"/>
    <mergeCell ref="C11:E11"/>
    <mergeCell ref="C8:E8"/>
    <mergeCell ref="B25:E25"/>
    <mergeCell ref="C7:E7"/>
    <mergeCell ref="B31:E31"/>
    <mergeCell ref="B27:E27"/>
    <mergeCell ref="C13:E13"/>
    <mergeCell ref="C6:E6"/>
    <mergeCell ref="B23:E23"/>
    <mergeCell ref="C14:E14"/>
    <mergeCell ref="B29:E29"/>
    <mergeCell ref="B28:E28"/>
    <mergeCell ref="C10:E1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I4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48" min="1" max="1"/>
    <col width="20" customWidth="1" style="48" min="2" max="2"/>
    <col width="34" customWidth="1" style="48" min="3" max="3"/>
    <col width="16" customWidth="1" style="48" min="4" max="4"/>
    <col width="26" customWidth="1" style="48" min="5" max="5"/>
    <col width="7" customWidth="1" style="48" min="6" max="6"/>
    <col width="12" customWidth="1" style="48" min="7" max="7"/>
    <col width="9" customWidth="1" style="48" min="8" max="8"/>
    <col width="26" customWidth="1" style="48" min="9" max="9"/>
  </cols>
  <sheetData>
    <row r="1" ht="21" customHeight="1" s="49">
      <c r="A1" s="50" t="inlineStr">
        <is>
          <t>0_通電前確認</t>
        </is>
      </c>
    </row>
    <row r="2" ht="27.75" customHeight="1" s="49">
      <c r="A2" s="64" t="inlineStr">
        <is>
          <t>通電前に必ず実施。ここで異常があれば通電しないこと。0-2 / 0-6 / 0-7 / 0-10〜0-16 / 0-22〜0-24 は v3.0.0 で追加した項目です。</t>
        </is>
      </c>
    </row>
    <row r="3"/>
    <row r="4" ht="30" customHeight="1" s="49">
      <c r="A4" s="65" t="inlineStr">
        <is>
          <t>No.</t>
        </is>
      </c>
      <c r="B4" s="61" t="inlineStr">
        <is>
          <t>項目</t>
        </is>
      </c>
      <c r="C4" s="61" t="inlineStr">
        <is>
          <t>手順・条件</t>
        </is>
      </c>
      <c r="D4" s="61" t="inlineStr">
        <is>
          <t>測定点</t>
        </is>
      </c>
      <c r="E4" s="61" t="inlineStr">
        <is>
          <t>設計値・判定基準</t>
        </is>
      </c>
      <c r="F4" s="61" t="inlineStr">
        <is>
          <t>単位</t>
        </is>
      </c>
      <c r="G4" s="61" t="inlineStr">
        <is>
          <t>実測値</t>
        </is>
      </c>
      <c r="H4" s="61" t="inlineStr">
        <is>
          <t>判定</t>
        </is>
      </c>
      <c r="I4" s="61" t="inlineStr">
        <is>
          <t>備考</t>
        </is>
      </c>
    </row>
    <row r="5" ht="60.75" customHeight="1" s="49">
      <c r="A5" s="66" t="inlineStr">
        <is>
          <t>0-1</t>
        </is>
      </c>
      <c r="B5" s="63" t="inlineStr">
        <is>
          <t>目視確認</t>
        </is>
      </c>
      <c r="C5" s="63" t="inlineStr">
        <is>
          <t>ルーペで全部品を確認</t>
        </is>
      </c>
      <c r="D5" s="63" t="inlineStr">
        <is>
          <t>基板全体</t>
        </is>
      </c>
      <c r="E5" s="63" t="inlineStr">
        <is>
          <t>ブリッジ・未はんだ・欠品・向き違いが無いこと。特に IC6（TSSOP-20、0.65mm ピッチ）と IC4（SOT-23-6）</t>
        </is>
      </c>
      <c r="F5" s="66" t="inlineStr">
        <is>
          <t>—</t>
        </is>
      </c>
      <c r="G5" s="67" t="n"/>
      <c r="H5" s="67" t="n"/>
      <c r="I5" s="68" t="n"/>
    </row>
    <row r="6" ht="60.75" customHeight="1" s="49">
      <c r="A6" s="66" t="inlineStr">
        <is>
          <t>0-2</t>
        </is>
      </c>
      <c r="B6" s="62" t="inlineStr">
        <is>
          <t>JP1 の状態</t>
        </is>
      </c>
      <c r="C6" s="63" t="inlineStr">
        <is>
          <t>基板を目視。はんだブリッジの有無を見る</t>
        </is>
      </c>
      <c r="D6" s="62" t="inlineStr">
        <is>
          <t>JP1</t>
        </is>
      </c>
      <c r="E6" s="63" t="inlineStr">
        <is>
          <t>★ 初回は「開放」であることを確認。未書込みのまま通電すると Vout は出ないが、それが正しい状態（2-4 で確認する）</t>
        </is>
      </c>
      <c r="F6" s="66" t="inlineStr">
        <is>
          <t>—</t>
        </is>
      </c>
      <c r="G6" s="67" t="n"/>
      <c r="H6" s="67" t="n"/>
      <c r="I6" s="68" t="n"/>
    </row>
    <row r="7" ht="46.5" customHeight="1" s="49">
      <c r="A7" s="66" t="inlineStr">
        <is>
          <t>0-3</t>
        </is>
      </c>
      <c r="B7" s="63" t="inlineStr">
        <is>
          <t>短絡確認</t>
        </is>
      </c>
      <c r="C7" s="62" t="inlineStr">
        <is>
          <t>DMM の抵抗レンジ</t>
        </is>
      </c>
      <c r="D7" s="62" t="inlineStr">
        <is>
          <t>J1 の +/− 間</t>
        </is>
      </c>
      <c r="E7" s="63" t="inlineStr">
        <is>
          <t>数百Ω以上。C5 / C7 の充電で表示が上昇し続けること（数Ωで止まる場合は短絡）</t>
        </is>
      </c>
      <c r="F7" s="66" t="inlineStr">
        <is>
          <t>Ω</t>
        </is>
      </c>
      <c r="G7" s="67" t="n"/>
      <c r="H7" s="67" t="n"/>
      <c r="I7" s="68" t="n"/>
    </row>
    <row r="8" ht="17.25" customHeight="1" s="49">
      <c r="A8" s="66" t="inlineStr">
        <is>
          <t>0-4</t>
        </is>
      </c>
      <c r="B8" s="63" t="inlineStr">
        <is>
          <t>短絡確認</t>
        </is>
      </c>
      <c r="C8" s="63" t="inlineStr">
        <is>
          <t>同上</t>
        </is>
      </c>
      <c r="D8" s="62" t="inlineStr">
        <is>
          <t>J2 の +/− 間</t>
        </is>
      </c>
      <c r="E8" s="63" t="inlineStr">
        <is>
          <t>同上</t>
        </is>
      </c>
      <c r="F8" s="66" t="inlineStr">
        <is>
          <t>Ω</t>
        </is>
      </c>
      <c r="G8" s="67" t="n"/>
      <c r="H8" s="67" t="n"/>
      <c r="I8" s="68" t="n"/>
    </row>
    <row r="9" ht="17.25" customHeight="1" s="49">
      <c r="A9" s="66" t="inlineStr">
        <is>
          <t>0-5</t>
        </is>
      </c>
      <c r="B9" s="63" t="inlineStr">
        <is>
          <t>短絡確認</t>
        </is>
      </c>
      <c r="C9" s="63" t="inlineStr">
        <is>
          <t>同上</t>
        </is>
      </c>
      <c r="D9" s="62" t="inlineStr">
        <is>
          <t>J3 の +/− 間</t>
        </is>
      </c>
      <c r="E9" s="63" t="inlineStr">
        <is>
          <t>同上</t>
        </is>
      </c>
      <c r="F9" s="66" t="inlineStr">
        <is>
          <t>Ω</t>
        </is>
      </c>
      <c r="G9" s="67" t="n"/>
      <c r="H9" s="67" t="n"/>
      <c r="I9" s="68" t="n"/>
    </row>
    <row r="10" ht="75" customHeight="1" s="49">
      <c r="A10" s="66" t="inlineStr">
        <is>
          <t>0-6</t>
        </is>
      </c>
      <c r="B10" s="62" t="inlineStr">
        <is>
          <t>3.3V レールの短絡確認</t>
        </is>
      </c>
      <c r="C10" s="62" t="inlineStr">
        <is>
          <t>DMM の抵抗レンジ（無通電）</t>
        </is>
      </c>
      <c r="D10" s="62" t="inlineStr">
        <is>
          <t>TP24 − TP32</t>
        </is>
      </c>
      <c r="E10" s="63" t="inlineStr">
        <is>
          <t>数 kΩ 以上で、C30 / C24 / C25 の充電により上昇し続けること。数Ω で止まる場合は IC4 / IC6 / C30 のいずれかが短絡している</t>
        </is>
      </c>
      <c r="F10" s="66" t="inlineStr">
        <is>
          <t>Ω</t>
        </is>
      </c>
      <c r="G10" s="67" t="n"/>
      <c r="H10" s="67" t="n"/>
      <c r="I10" s="68" t="n"/>
    </row>
    <row r="11" ht="31.5" customHeight="1" s="49">
      <c r="A11" s="66" t="inlineStr">
        <is>
          <t>0-7</t>
        </is>
      </c>
      <c r="B11" s="62" t="inlineStr">
        <is>
          <t>3.3V と VBUS の分離</t>
        </is>
      </c>
      <c r="C11" s="63" t="inlineStr">
        <is>
          <t>同上</t>
        </is>
      </c>
      <c r="D11" s="62" t="inlineStr">
        <is>
          <t>TP24 − TP4</t>
        </is>
      </c>
      <c r="E11" s="62" t="inlineStr">
        <is>
          <t>OL または非常に高い値。導通していたら IC4 の実装不良</t>
        </is>
      </c>
      <c r="F11" s="66" t="inlineStr">
        <is>
          <t>—</t>
        </is>
      </c>
      <c r="G11" s="67" t="n"/>
      <c r="H11" s="67" t="n"/>
      <c r="I11" s="68" t="n"/>
    </row>
    <row r="12" ht="31.5" customHeight="1" s="49">
      <c r="A12" s="66" t="inlineStr">
        <is>
          <t>0-8</t>
        </is>
      </c>
      <c r="B12" s="63" t="inlineStr">
        <is>
          <t>導通確認</t>
        </is>
      </c>
      <c r="C12" s="62" t="inlineStr">
        <is>
          <t>DMM のダイオードレンジ</t>
        </is>
      </c>
      <c r="D12" s="62" t="inlineStr">
        <is>
          <t>TP10 → TP4</t>
        </is>
      </c>
      <c r="E12" s="62" t="inlineStr">
        <is>
          <t>Q3 ボディダイオード方向で導通（約 0.5V）</t>
        </is>
      </c>
      <c r="F12" s="66" t="inlineStr">
        <is>
          <t>V</t>
        </is>
      </c>
      <c r="G12" s="67" t="n"/>
      <c r="H12" s="67" t="n"/>
      <c r="I12" s="68" t="n"/>
    </row>
    <row r="13" ht="31.5" customHeight="1" s="49">
      <c r="A13" s="66" t="inlineStr">
        <is>
          <t>0-9</t>
        </is>
      </c>
      <c r="B13" s="63" t="inlineStr">
        <is>
          <t>ビア確認</t>
        </is>
      </c>
      <c r="C13" s="63" t="inlineStr">
        <is>
          <t>基板を透かして裏面を確認</t>
        </is>
      </c>
      <c r="D13" s="62" t="inlineStr">
        <is>
          <t>Q1/Q2/Q3 裏面</t>
        </is>
      </c>
      <c r="E13" s="63" t="inlineStr">
        <is>
          <t>はんだの染み出しが無いこと（テンティング成立）</t>
        </is>
      </c>
      <c r="F13" s="66" t="inlineStr">
        <is>
          <t>—</t>
        </is>
      </c>
      <c r="G13" s="67" t="n"/>
      <c r="H13" s="67" t="n"/>
      <c r="I13" s="68" t="n"/>
    </row>
    <row r="14" ht="31.5" customHeight="1" s="49">
      <c r="A14" s="66" t="inlineStr">
        <is>
          <t>0-10</t>
        </is>
      </c>
      <c r="B14" s="62" t="inlineStr">
        <is>
          <t>R51 の実装・値</t>
        </is>
      </c>
      <c r="C14" s="62" t="inlineStr">
        <is>
          <t>DMM の抵抗レンジ（無通電）</t>
        </is>
      </c>
      <c r="D14" s="62" t="inlineStr">
        <is>
          <t>TP5 − IC3.10（GATE ピン）</t>
        </is>
      </c>
      <c r="E14" s="62" t="inlineStr">
        <is>
          <t>100Ω ±5%。ここが開放だと Q3 のゲートが駆動されない</t>
        </is>
      </c>
      <c r="F14" s="66" t="inlineStr">
        <is>
          <t>Ω</t>
        </is>
      </c>
      <c r="G14" s="67" t="n"/>
      <c r="H14" s="67" t="n"/>
      <c r="I14" s="68" t="n"/>
    </row>
    <row r="15" ht="60.75" customHeight="1" s="49">
      <c r="A15" s="66" t="inlineStr">
        <is>
          <t>0-11</t>
        </is>
      </c>
      <c r="B15" s="62" t="inlineStr">
        <is>
          <t>D12 の向き</t>
        </is>
      </c>
      <c r="C15" s="62" t="inlineStr">
        <is>
          <t>DMM のダイオードレンジ</t>
        </is>
      </c>
      <c r="D15" s="62" t="inlineStr">
        <is>
          <t>TP5 − TP10</t>
        </is>
      </c>
      <c r="E15" s="62" t="inlineStr">
        <is>
          <t>TP5 側が＋で OL（TVS の阻止方向）、逆向きで約 0.6〜0.9V の順方向。逆なら実装の向きが誤り</t>
        </is>
      </c>
      <c r="F15" s="66" t="inlineStr">
        <is>
          <t>V</t>
        </is>
      </c>
      <c r="G15" s="67" t="n"/>
      <c r="H15" s="67" t="n"/>
      <c r="I15" s="68" t="n"/>
    </row>
    <row r="16" ht="46.5" customHeight="1" s="49">
      <c r="A16" s="66" t="inlineStr">
        <is>
          <t>0-12</t>
        </is>
      </c>
      <c r="B16" s="62" t="inlineStr">
        <is>
          <t>D11 の向き</t>
        </is>
      </c>
      <c r="C16" s="63" t="inlineStr">
        <is>
          <t>同上</t>
        </is>
      </c>
      <c r="D16" s="62" t="inlineStr">
        <is>
          <t>R39.1（D11 カソード）− TP24</t>
        </is>
      </c>
      <c r="E16" s="62" t="inlineStr">
        <is>
          <t>TP24 側が＋で約 0.3V（順方向）、逆で OL。BAT46W のアノードが +3V3 側</t>
        </is>
      </c>
      <c r="F16" s="66" t="inlineStr">
        <is>
          <t>V</t>
        </is>
      </c>
      <c r="G16" s="67" t="n"/>
      <c r="H16" s="67" t="n"/>
      <c r="I16" s="68" t="n"/>
    </row>
    <row r="17" ht="46.5" customHeight="1" s="49">
      <c r="A17" s="66" t="inlineStr">
        <is>
          <t>0-13</t>
        </is>
      </c>
      <c r="B17" s="62" t="inlineStr">
        <is>
          <t>EN プルダウン</t>
        </is>
      </c>
      <c r="C17" s="62" t="inlineStr">
        <is>
          <t>DMM の抵抗レンジ（無通電、J4 開放）</t>
        </is>
      </c>
      <c r="D17" s="62" t="inlineStr">
        <is>
          <t>TP7 − TP2</t>
        </is>
      </c>
      <c r="E17" s="62" t="inlineStr">
        <is>
          <t>2.2kΩ 前後（R40 が実装されていること）。C12 の充電で安定するまで数秒かかる</t>
        </is>
      </c>
      <c r="F17" s="66" t="inlineStr">
        <is>
          <t>kΩ</t>
        </is>
      </c>
      <c r="G17" s="67" t="n"/>
      <c r="H17" s="67" t="n"/>
      <c r="I17" s="68" t="n"/>
    </row>
    <row r="18" ht="46.5" customHeight="1" s="49">
      <c r="A18" s="66" t="inlineStr">
        <is>
          <t>0-14</t>
        </is>
      </c>
      <c r="B18" s="62" t="inlineStr">
        <is>
          <t>EN_GATE プルアップ</t>
        </is>
      </c>
      <c r="C18" s="63" t="inlineStr">
        <is>
          <t>同上</t>
        </is>
      </c>
      <c r="D18" s="62" t="inlineStr">
        <is>
          <t>TP25 − TP24</t>
        </is>
      </c>
      <c r="E18" s="62" t="inlineStr">
        <is>
          <t>1MΩ 前後（R42）。C20 の充電があるため上昇し続けてから安定する</t>
        </is>
      </c>
      <c r="F18" s="66" t="inlineStr">
        <is>
          <t>MΩ</t>
        </is>
      </c>
      <c r="G18" s="67" t="n"/>
      <c r="H18" s="67" t="n"/>
      <c r="I18" s="68" t="n"/>
    </row>
    <row r="19" ht="17.25" customHeight="1" s="49">
      <c r="A19" s="66" t="inlineStr">
        <is>
          <t>0-15</t>
        </is>
      </c>
      <c r="B19" s="62" t="inlineStr">
        <is>
          <t>SHDN_REQ 直列抵抗</t>
        </is>
      </c>
      <c r="C19" s="63" t="inlineStr">
        <is>
          <t>同上</t>
        </is>
      </c>
      <c r="D19" s="62" t="inlineStr">
        <is>
          <t>TP28 − TP25</t>
        </is>
      </c>
      <c r="E19" s="62" t="inlineStr">
        <is>
          <t>220Ω 前後（R48）</t>
        </is>
      </c>
      <c r="F19" s="66" t="inlineStr">
        <is>
          <t>Ω</t>
        </is>
      </c>
      <c r="G19" s="67" t="n"/>
      <c r="H19" s="67" t="n"/>
      <c r="I19" s="68" t="n"/>
    </row>
    <row r="20" ht="46.5" customHeight="1" s="49">
      <c r="A20" s="66" t="inlineStr">
        <is>
          <t>0-16</t>
        </is>
      </c>
      <c r="B20" s="62" t="inlineStr">
        <is>
          <t>JP1 の接続先</t>
        </is>
      </c>
      <c r="C20" s="63" t="inlineStr">
        <is>
          <t>同上（JP1 開放状態）</t>
        </is>
      </c>
      <c r="D20" s="62" t="inlineStr">
        <is>
          <t>JP1 pad1 − TP32 / pad2 − TP25</t>
        </is>
      </c>
      <c r="E20" s="62" t="inlineStr">
        <is>
          <t>pad1 が GND（0Ω）、pad2 が EN_GATE（0Ω）。pad1 − pad2 間は開放</t>
        </is>
      </c>
      <c r="F20" s="66" t="inlineStr">
        <is>
          <t>—</t>
        </is>
      </c>
      <c r="G20" s="67" t="n"/>
      <c r="H20" s="67" t="n"/>
      <c r="I20" s="68" t="n"/>
    </row>
    <row r="21" ht="31.5" customHeight="1" s="49">
      <c r="A21" s="66" t="inlineStr">
        <is>
          <t>0-17</t>
        </is>
      </c>
      <c r="B21" s="62" t="inlineStr">
        <is>
          <t>Q4 ゲートプルダウン</t>
        </is>
      </c>
      <c r="C21" s="63" t="inlineStr">
        <is>
          <t>同上</t>
        </is>
      </c>
      <c r="D21" s="62" t="inlineStr">
        <is>
          <t>TP9 − TP12</t>
        </is>
      </c>
      <c r="E21" s="62" t="inlineStr">
        <is>
          <t>100kΩ 前後（R13 が実装されていること）</t>
        </is>
      </c>
      <c r="F21" s="66" t="inlineStr">
        <is>
          <t>kΩ</t>
        </is>
      </c>
      <c r="G21" s="67" t="n"/>
      <c r="H21" s="67" t="n"/>
      <c r="I21" s="68" t="n"/>
    </row>
    <row r="22" ht="60.75" customHeight="1" s="49">
      <c r="A22" s="66" t="inlineStr">
        <is>
          <t>0-18</t>
        </is>
      </c>
      <c r="B22" s="62" t="inlineStr">
        <is>
          <t>VREF バイアス経路</t>
        </is>
      </c>
      <c r="C22" s="63" t="inlineStr">
        <is>
          <t>同上</t>
        </is>
      </c>
      <c r="D22" s="62" t="inlineStr">
        <is>
          <t>TP8 − TP11</t>
        </is>
      </c>
      <c r="E22" s="62" t="inlineStr">
        <is>
          <t>6.8kΩ 前後（R20 が 12V レールと VREF の間にあること）。C13 / C17 の充電で安定するまで数秒かかる</t>
        </is>
      </c>
      <c r="F22" s="66" t="inlineStr">
        <is>
          <t>kΩ</t>
        </is>
      </c>
      <c r="G22" s="67" t="n"/>
      <c r="H22" s="67" t="n"/>
      <c r="I22" s="68" t="n"/>
    </row>
    <row r="23" ht="46.5" customHeight="1" s="49">
      <c r="A23" s="66" t="inlineStr">
        <is>
          <t>0-19</t>
        </is>
      </c>
      <c r="B23" s="63" t="inlineStr">
        <is>
          <t>分圧ノードの分離</t>
        </is>
      </c>
      <c r="C23" s="63" t="inlineStr">
        <is>
          <t>同上</t>
        </is>
      </c>
      <c r="D23" s="62" t="inlineStr">
        <is>
          <t>TP15 − TP11</t>
        </is>
      </c>
      <c r="E23" s="62" t="inlineStr">
        <is>
          <t>OL、または表示が上昇し続けること。6.8kΩ 前後で安定したら R20 の接続先が誤っている</t>
        </is>
      </c>
      <c r="F23" s="66" t="inlineStr">
        <is>
          <t>—</t>
        </is>
      </c>
      <c r="G23" s="67" t="n"/>
      <c r="H23" s="67" t="n"/>
      <c r="I23" s="68" t="n"/>
    </row>
    <row r="24" ht="46.5" customHeight="1" s="49">
      <c r="A24" s="66" t="inlineStr">
        <is>
          <t>0-20</t>
        </is>
      </c>
      <c r="B24" s="62" t="inlineStr">
        <is>
          <t>F3 の導通</t>
        </is>
      </c>
      <c r="C24" s="63" t="inlineStr">
        <is>
          <t>同上</t>
        </is>
      </c>
      <c r="D24" s="62" t="inlineStr">
        <is>
          <t>J3 の + 端子 − J4 pin1</t>
        </is>
      </c>
      <c r="E24" s="62" t="inlineStr">
        <is>
          <t>1.6〜15Ω（PPTC の正常時抵抗）。C7 / C11 の充電の影響を受けるので安定後の値を読む</t>
        </is>
      </c>
      <c r="F24" s="66" t="inlineStr">
        <is>
          <t>Ω</t>
        </is>
      </c>
      <c r="G24" s="67" t="n"/>
      <c r="H24" s="67" t="n"/>
      <c r="I24" s="68" t="n"/>
    </row>
    <row r="25" ht="75" customHeight="1" s="49">
      <c r="A25" s="66" t="inlineStr">
        <is>
          <t>0-21</t>
        </is>
      </c>
      <c r="B25" s="62" t="inlineStr">
        <is>
          <t>J4 のピン配置</t>
        </is>
      </c>
      <c r="C25" s="63" t="inlineStr">
        <is>
          <t>基板とコネクタを目視・導通確認</t>
        </is>
      </c>
      <c r="D25" s="62" t="inlineStr">
        <is>
          <t>J4</t>
        </is>
      </c>
      <c r="E25" s="62" t="inlineStr">
        <is>
          <t>pin1 Vout_after_PPTC / pin2 GND / pin3 EN_SWITCH / pin4 EN。★ v2.1.1 とピン機能は同じで、繋がるネットだけが 3.3V 系ロジックに変わった</t>
        </is>
      </c>
      <c r="F25" s="66" t="inlineStr">
        <is>
          <t>—</t>
        </is>
      </c>
      <c r="G25" s="67" t="n"/>
      <c r="H25" s="67" t="n"/>
      <c r="I25" s="68" t="n"/>
    </row>
    <row r="26" ht="75" customHeight="1" s="49">
      <c r="A26" s="66" t="inlineStr">
        <is>
          <t>0-22</t>
        </is>
      </c>
      <c r="B26" s="62" t="inlineStr">
        <is>
          <t>J6 のピン配置</t>
        </is>
      </c>
      <c r="C26" s="63" t="inlineStr">
        <is>
          <t>基板とシルクを目視・導通確認</t>
        </is>
      </c>
      <c r="D26" s="62" t="inlineStr">
        <is>
          <t>J6</t>
        </is>
      </c>
      <c r="E26" s="62" t="inlineStr">
        <is>
          <t>pin1 +3V3 / pin2 SWDIO / pin3 SWCLK / pin4 NRST / pin5 GND。★ 1 ピンずれると 3.3V レールに 5V が入り IC6 が壊れる</t>
        </is>
      </c>
      <c r="F26" s="66" t="inlineStr">
        <is>
          <t>—</t>
        </is>
      </c>
      <c r="G26" s="67" t="n"/>
      <c r="H26" s="67" t="n"/>
      <c r="I26" s="68" t="n"/>
    </row>
    <row r="27" ht="46.5" customHeight="1" s="49">
      <c r="A27" s="66" t="inlineStr">
        <is>
          <t>0-23</t>
        </is>
      </c>
      <c r="B27" s="62" t="inlineStr">
        <is>
          <t>TH1 / TH2 の抵抗</t>
        </is>
      </c>
      <c r="C27" s="62" t="inlineStr">
        <is>
          <t>DMM の抵抗レンジ（無通電、室温）</t>
        </is>
      </c>
      <c r="D27" s="62" t="inlineStr">
        <is>
          <t>TH1 / TH2 の両端</t>
        </is>
      </c>
      <c r="E27" s="62" t="inlineStr">
        <is>
          <t>25℃ で 10.0kΩ ±5%（NCP21XV103J03RA）。室温が 25℃ でない場合は温度換算して確認</t>
        </is>
      </c>
      <c r="F27" s="66" t="inlineStr">
        <is>
          <t>kΩ</t>
        </is>
      </c>
      <c r="G27" s="67" t="n"/>
      <c r="H27" s="67" t="n"/>
      <c r="I27" s="68" t="n"/>
    </row>
    <row r="28" ht="46.5" customHeight="1" s="49">
      <c r="A28" s="66" t="inlineStr">
        <is>
          <t>0-24</t>
        </is>
      </c>
      <c r="B28" s="62" t="inlineStr">
        <is>
          <t>TH2 と R11 の距離</t>
        </is>
      </c>
      <c r="C28" s="63" t="inlineStr">
        <is>
          <t>ノギスまたは目視</t>
        </is>
      </c>
      <c r="D28" s="62" t="inlineStr">
        <is>
          <t>TH2 − R11</t>
        </is>
      </c>
      <c r="E28" s="62" t="inlineStr">
        <is>
          <t>5mm 程度離れていること。密着していると NCP21X の動作上限 125℃ を超える</t>
        </is>
      </c>
      <c r="F28" s="66" t="inlineStr">
        <is>
          <t>mm</t>
        </is>
      </c>
      <c r="G28" s="67" t="n"/>
      <c r="H28" s="67" t="n"/>
      <c r="I28" s="68" t="n"/>
    </row>
    <row r="29">
      <c r="A29" t="inlineStr">
        <is>
          <t>0-25</t>
        </is>
      </c>
      <c r="B29" t="inlineStr">
        <is>
          <t>R54 の実装・値</t>
        </is>
      </c>
      <c r="C29" t="inlineStr">
        <is>
          <t>DMM の抵抗レンジ（無通電）</t>
        </is>
      </c>
      <c r="D29" t="inlineStr">
        <is>
          <t>IC6.17 − J5 pin6</t>
        </is>
      </c>
      <c r="E29" t="inlineStr">
        <is>
          <t>100Ω ±5%（C22775）。★ ここが開放だと EXT_GPIO が J5 に出ない</t>
        </is>
      </c>
      <c r="F29" t="inlineStr">
        <is>
          <t>Ω</t>
        </is>
      </c>
    </row>
    <row r="30" ht="17.25" customHeight="1" s="49">
      <c r="A30" t="inlineStr">
        <is>
          <t>0-26</t>
        </is>
      </c>
      <c r="B30" t="inlineStr">
        <is>
          <t>R73 の未実装確認</t>
        </is>
      </c>
      <c r="C30" t="inlineStr">
        <is>
          <t>DMM の抵抗レンジ（無通電）</t>
        </is>
      </c>
      <c r="D30" t="inlineStr">
        <is>
          <t>J5 pin5 − J7 pin1</t>
        </is>
      </c>
      <c r="E30" t="inlineStr">
        <is>
          <t>開放（OL）であること。★ R73 は DNP。実装されていると I_SENSE が PA4 に入り EXT_ADC1 の意味が変わる。PA4 側は C36 10nF のみが残る</t>
        </is>
      </c>
      <c r="F30" t="inlineStr">
        <is>
          <t>—</t>
        </is>
      </c>
    </row>
    <row r="31" ht="17.25" customHeight="1" s="49">
      <c r="A31" t="inlineStr">
        <is>
          <t>0-27</t>
        </is>
      </c>
      <c r="B31" t="inlineStr">
        <is>
          <t>C64 / C69 の未実装確認</t>
        </is>
      </c>
      <c r="C31" t="inlineStr">
        <is>
          <t>ルーペで目視</t>
        </is>
      </c>
      <c r="D31" t="inlineStr">
        <is>
          <t>C64 / C69</t>
        </is>
      </c>
      <c r="E31" t="inlineStr">
        <is>
          <t>どちらも未実装（DNP）であること。C69 が載ると EXT_ADC1 の時定数が変わる。C64 は R74 / R75 が 0Ω のため載せても無効だが、載せる場合は R74 / R75 を抵抗値ありに変更すること</t>
        </is>
      </c>
      <c r="F31" t="inlineStr">
        <is>
          <t>—</t>
        </is>
      </c>
    </row>
    <row r="32" ht="17.25" customHeight="1" s="49">
      <c r="A32" t="inlineStr">
        <is>
          <t>0-28</t>
        </is>
      </c>
      <c r="B32" t="inlineStr">
        <is>
          <t>J5 のピン配置</t>
        </is>
      </c>
      <c r="C32" t="inlineStr">
        <is>
          <t>基板とシルクを目視・導通確認</t>
        </is>
      </c>
      <c r="D32" t="inlineStr">
        <is>
          <t>J5</t>
        </is>
      </c>
      <c r="E32" t="inlineStr">
        <is>
          <t>pin1 +3V3（R47 0Ω 経由）/ pin2 GND / pin3 I2C_SCL / pin4 I2C_SDA / pin5 EXT_ADC1（R73 DNP のため I_SENSE は来ない）/ pin6 EXT_GPIO（R54 100Ω 経由）</t>
        </is>
      </c>
      <c r="F32" t="inlineStr">
        <is>
          <t>—</t>
        </is>
      </c>
    </row>
    <row r="33" ht="31.5" customHeight="1" s="49">
      <c r="A33" t="inlineStr">
        <is>
          <t>0-29</t>
        </is>
      </c>
      <c r="B33" t="inlineStr">
        <is>
          <t>J7 のピン配置</t>
        </is>
      </c>
      <c r="C33" t="inlineStr">
        <is>
          <t>同上</t>
        </is>
      </c>
      <c r="D33" t="inlineStr">
        <is>
          <t>J7</t>
        </is>
      </c>
      <c r="E33" t="inlineStr">
        <is>
          <t>pin1 I_SENSE（U3 出力、R77 1kΩ 経由）/ pin2 ANALOG_SENSE_GND / pin3 VBUS バッファ出力（IC5、R76 1kΩ 経由）。JST GH 3極 SMD（C514175）</t>
        </is>
      </c>
      <c r="F33" t="inlineStr">
        <is>
          <t>—</t>
        </is>
      </c>
    </row>
    <row r="34" ht="31.5" customHeight="1" s="49">
      <c r="A34" t="inlineStr">
        <is>
          <t>0-30</t>
        </is>
      </c>
      <c r="B34" t="inlineStr">
        <is>
          <t>J8 のピン配置</t>
        </is>
      </c>
      <c r="C34" t="inlineStr">
        <is>
          <t>同上</t>
        </is>
      </c>
      <c r="D34" t="inlineStr">
        <is>
          <t>J8</t>
        </is>
      </c>
      <c r="E34" t="inlineStr">
        <is>
          <t>pin1 GND / pin2 VBUS_AUX。★ B2P-VH は垂直品（C160315）なのでハーネスの向きが v2.1.1 と変わる</t>
        </is>
      </c>
      <c r="F34" t="inlineStr">
        <is>
          <t>—</t>
        </is>
      </c>
    </row>
    <row r="35" ht="17.25" customHeight="1" s="49">
      <c r="A35" t="inlineStr">
        <is>
          <t>0-31</t>
        </is>
      </c>
      <c r="B35" t="inlineStr">
        <is>
          <t>F4 の導通</t>
        </is>
      </c>
      <c r="C35" t="inlineStr">
        <is>
          <t>DMM の抵抗レンジ（無通電）</t>
        </is>
      </c>
      <c r="D35" t="inlineStr">
        <is>
          <t>TP4 − J8 pin2</t>
        </is>
      </c>
      <c r="E35" t="inlineStr">
        <is>
          <t>数Ω 以下（AEM F1206HI2000V063TM、2A / 63V 高インラッシュ）。開放なら VBUS_AUX が出ない</t>
        </is>
      </c>
      <c r="F35" t="inlineStr">
        <is>
          <t>Ω</t>
        </is>
      </c>
    </row>
    <row r="36"/>
    <row r="37">
      <c r="A37" s="69" t="inlineStr">
        <is>
          <t>※ 0-6 / 0-7 は v3.0.0 で追加した項目です。3.3V レールが短絡したまま通電すると IC4 が過熱します。
※ 0-25〜0-31 は 2026-10-21 に追加した項目です。2026-10-14 以降の設計変更（R54 / R70 / R73 / R74 / R75 / C64 / C69 / U3 / IC5 / J5 / J7 / J8 / F4）に対応します。</t>
        </is>
      </c>
    </row>
    <row r="38">
      <c r="A38" s="69" t="inlineStr">
        <is>
          <t>※ 0-10 / 0-11 は 2026-10-08 の Q3 破壊を受けて追加した R51 / D12 の実装確認です。どちらか一方でも欠けると、出力短絡時に Q3 のゲート酸化膜が再び破壊されます。</t>
        </is>
      </c>
    </row>
    <row r="39">
      <c r="A39" s="69" t="inlineStr">
        <is>
          <t>※ 0-13〜0-16 は EN フェイルセーフ経路の確認です。R42 が欠けると未書込み時に EN_GATE が浮いて遮断が不定になり、R40 が欠けると J4 断線時に EN が落ちません。</t>
        </is>
      </c>
    </row>
    <row r="40">
      <c r="A40" s="69" t="inlineStr">
        <is>
          <t>※ 0-18 / 0-19 は v2.0.0 で R20 の接続先を誤っていた箇所です。R20 の上端が 12V レールではなく分圧ノードに繋がっていたため、TL431 にバイアス電流が流れず VREF が立ちませんでした。</t>
        </is>
      </c>
    </row>
    <row r="41">
      <c r="A41" s="70" t="inlineStr">
        <is>
          <t>※ 抵抗レンジでの測定は、どの項目も「表示が安定してから読む」か「上昇し続けることを確認する」のどちらかです。0-3〜0-6 は上昇し続けることが正常、0-10 / 0-13〜0-15 / 0-18 / 0-20 / 0-23 は安定後の値が判定対象です。</t>
        </is>
      </c>
    </row>
    <row r="42">
      <c r="A42" s="70" t="inlineStr">
        <is>
          <t>※ 測定前に C5 / C7 を放電させてください。前の測定で充電が残っていると高い値が表示され、短絡を見逃します。</t>
        </is>
      </c>
    </row>
  </sheetData>
  <mergeCells count="7">
    <mergeCell ref="A41:I41"/>
    <mergeCell ref="A2:I2"/>
    <mergeCell ref="A42:I42"/>
    <mergeCell ref="A37:I37"/>
    <mergeCell ref="A40:I40"/>
    <mergeCell ref="A39:I39"/>
    <mergeCell ref="A38:I38"/>
  </mergeCells>
  <dataValidations count="1">
    <dataValidation sqref="H5:H28" showDropDown="0" showInputMessage="0" showErrorMessage="0" allowBlank="1" type="list" errorStyle="stop" operator="between">
      <formula1>"OK,NG,未実施"</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48" min="1" max="1"/>
    <col width="20" customWidth="1" style="48" min="2" max="2"/>
    <col width="34" customWidth="1" style="48" min="3" max="3"/>
    <col width="16" customWidth="1" style="48" min="4" max="4"/>
    <col width="26" customWidth="1" style="48" min="5" max="5"/>
    <col width="7" customWidth="1" style="48" min="6" max="6"/>
    <col width="12" customWidth="1" style="48" min="7" max="7"/>
    <col width="9" customWidth="1" style="48" min="8" max="8"/>
    <col width="26" customWidth="1" style="48" min="9" max="9"/>
  </cols>
  <sheetData>
    <row r="1" ht="21" customHeight="1" s="49">
      <c r="A1" s="50" t="inlineStr">
        <is>
          <t>1_3.3V電源（IC4 / LMR16006XDDCR）</t>
        </is>
      </c>
    </row>
    <row r="2" ht="27.75" customHeight="1" s="49">
      <c r="A2" s="64" t="inlineStr">
        <is>
          <t>可変電源を電流制限 0.3A に設定し、J1 に接続して実施。パックと MDDS30 は接続しない。★ このフェーズでは Vout は出ません（未書込みのフェイルセーフ動作で、正常です）。</t>
        </is>
      </c>
    </row>
    <row r="4" ht="30" customHeight="1" s="49">
      <c r="A4" s="65" t="inlineStr">
        <is>
          <t>No.</t>
        </is>
      </c>
      <c r="B4" s="61" t="inlineStr">
        <is>
          <t>項目</t>
        </is>
      </c>
      <c r="C4" s="61" t="inlineStr">
        <is>
          <t>手順・条件</t>
        </is>
      </c>
      <c r="D4" s="61" t="inlineStr">
        <is>
          <t>測定点</t>
        </is>
      </c>
      <c r="E4" s="61" t="inlineStr">
        <is>
          <t>設計値・判定基準</t>
        </is>
      </c>
      <c r="F4" s="61" t="inlineStr">
        <is>
          <t>単位</t>
        </is>
      </c>
      <c r="G4" s="61" t="inlineStr">
        <is>
          <t>実測値</t>
        </is>
      </c>
      <c r="H4" s="61" t="inlineStr">
        <is>
          <t>判定</t>
        </is>
      </c>
      <c r="I4" s="61" t="inlineStr">
        <is>
          <t>備考</t>
        </is>
      </c>
    </row>
    <row r="5" ht="46.5" customHeight="1" s="49">
      <c r="A5" s="66" t="inlineStr">
        <is>
          <t>1-1</t>
        </is>
      </c>
      <c r="B5" s="62" t="inlineStr">
        <is>
          <t>3.3V の立ち上がり</t>
        </is>
      </c>
      <c r="C5" s="62" t="inlineStr">
        <is>
          <t>VBUS 12V、電流制限 0.3A。J4 は開放（非常停止を押した状態）</t>
        </is>
      </c>
      <c r="D5" s="62" t="inlineStr">
        <is>
          <t>TP24 − TP32</t>
        </is>
      </c>
      <c r="E5" s="62" t="inlineStr">
        <is>
          <t>3.307V ±3%（3.21〜3.41V）。R44 100kΩ / R45 30.1kΩ で 0.765 × (1 + 100/30.1)</t>
        </is>
      </c>
      <c r="F5" s="66" t="inlineStr">
        <is>
          <t>V</t>
        </is>
      </c>
      <c r="G5" s="67" t="n"/>
      <c r="H5" s="67" t="n"/>
      <c r="I5" s="68" t="n"/>
    </row>
    <row r="6" ht="46.5" customHeight="1" s="49">
      <c r="A6" s="66" t="inlineStr">
        <is>
          <t>1-2</t>
        </is>
      </c>
      <c r="B6" s="62" t="inlineStr">
        <is>
          <t>VBUS 依存性</t>
        </is>
      </c>
      <c r="C6" s="62" t="inlineStr">
        <is>
          <t>VBUS を 12 / 19.5 / 24 / 29.4 / 35V と変えて TP24 を読む</t>
        </is>
      </c>
      <c r="D6" s="62" t="inlineStr">
        <is>
          <t>TP24 − TP32</t>
        </is>
      </c>
      <c r="E6" s="63" t="inlineStr">
        <is>
          <t>全点で ±1% 以内（3.27〜3.34V）。変動するなら FB 分圧か IC4 の実装を疑う</t>
        </is>
      </c>
      <c r="F6" s="66" t="inlineStr">
        <is>
          <t>V</t>
        </is>
      </c>
      <c r="G6" s="67" t="n"/>
      <c r="H6" s="67" t="n"/>
      <c r="I6" s="68" t="n"/>
    </row>
    <row r="7" ht="46.5" customHeight="1" s="49">
      <c r="A7" s="66" t="inlineStr">
        <is>
          <t>1-3</t>
        </is>
      </c>
      <c r="B7" s="63" t="inlineStr">
        <is>
          <t>出力リプル</t>
        </is>
      </c>
      <c r="C7" s="62" t="inlineStr">
        <is>
          <t>VBUS 29.4V、AC カップリング、20MHz 帯域制限、グランドスプリング使用</t>
        </is>
      </c>
      <c r="D7" s="62" t="inlineStr">
        <is>
          <t>TP24 − TP32</t>
        </is>
      </c>
      <c r="E7" s="63" t="inlineStr">
        <is>
          <t>設計 1.0mV（ΔIL 127mA / C30 22µF）。スイッチングスパイクを含め 30mVpp 以下</t>
        </is>
      </c>
      <c r="F7" s="66" t="inlineStr">
        <is>
          <t>mVpp</t>
        </is>
      </c>
      <c r="G7" s="67" t="n"/>
      <c r="H7" s="67" t="n"/>
      <c r="I7" s="68" t="n"/>
    </row>
    <row r="8" ht="46.5" customHeight="1" s="49">
      <c r="A8" s="66" t="inlineStr">
        <is>
          <t>1-4</t>
        </is>
      </c>
      <c r="B8" s="63" t="inlineStr">
        <is>
          <t>スイッチング周波数</t>
        </is>
      </c>
      <c r="C8" s="62" t="inlineStr">
        <is>
          <t>L2 の IC4 側端子（SW_3V3）を観測。10× プローブ</t>
        </is>
      </c>
      <c r="D8" s="62" t="inlineStr">
        <is>
          <t>L2.1 − TP32</t>
        </is>
      </c>
      <c r="E8" s="62" t="inlineStr">
        <is>
          <t>0.7MHz ±15%（595〜805kHz）。X 版（0.7MHz）であることの確認</t>
        </is>
      </c>
      <c r="F8" s="66" t="inlineStr">
        <is>
          <t>kHz</t>
        </is>
      </c>
      <c r="G8" s="67" t="n"/>
      <c r="H8" s="67" t="n"/>
      <c r="I8" s="68" t="n"/>
    </row>
    <row r="9" ht="46.5" customHeight="1" s="49">
      <c r="A9" s="66" t="inlineStr">
        <is>
          <t>1-5</t>
        </is>
      </c>
      <c r="B9" s="63" t="inlineStr">
        <is>
          <t>デューティ</t>
        </is>
      </c>
      <c r="C9" s="62" t="inlineStr">
        <is>
          <t>VBUS 29.4V、同時観測</t>
        </is>
      </c>
      <c r="D9" s="62" t="inlineStr">
        <is>
          <t>L2.1 − TP32</t>
        </is>
      </c>
      <c r="E9" s="62" t="inlineStr">
        <is>
          <t>11.25% 前後（3.307 ÷ 29.4）。ON 時間 161ns は規格最小 80ns の 2 倍</t>
        </is>
      </c>
      <c r="F9" s="66" t="inlineStr">
        <is>
          <t>%</t>
        </is>
      </c>
      <c r="G9" s="67" t="n"/>
      <c r="H9" s="67" t="n"/>
      <c r="I9" s="68" t="n"/>
    </row>
    <row r="10" ht="46.5" customHeight="1" s="49">
      <c r="A10" s="66" t="inlineStr">
        <is>
          <t>1-6</t>
        </is>
      </c>
      <c r="B10" s="62" t="inlineStr">
        <is>
          <t>SW ノードのリンギング</t>
        </is>
      </c>
      <c r="C10" s="62" t="inlineStr">
        <is>
          <t>VBUS 35V、SW 立ち上がりのピークを読む</t>
        </is>
      </c>
      <c r="D10" s="62" t="inlineStr">
        <is>
          <t>L2.1 − TP32</t>
        </is>
      </c>
      <c r="E10" s="62" t="inlineStr">
        <is>
          <t>60V（IC4 の SW 絶対最大）を超えないこと。超える場合は C27 / D10 のループが大きい</t>
        </is>
      </c>
      <c r="F10" s="66" t="inlineStr">
        <is>
          <t>V</t>
        </is>
      </c>
      <c r="G10" s="67" t="n"/>
      <c r="H10" s="67" t="n"/>
      <c r="I10" s="68" t="n"/>
    </row>
    <row r="11" ht="60.75" customHeight="1" s="49">
      <c r="A11" s="66" t="inlineStr">
        <is>
          <t>1-7</t>
        </is>
      </c>
      <c r="B11" s="62" t="inlineStr">
        <is>
          <t>SW ノードのループ確認</t>
        </is>
      </c>
      <c r="C11" s="62" t="inlineStr">
        <is>
          <t>1-6 と同時。サーマルカメラまたは目視でも可</t>
        </is>
      </c>
      <c r="D11" s="62" t="inlineStr">
        <is>
          <t>C27 / D10 / IC4</t>
        </is>
      </c>
      <c r="E11" s="63" t="inlineStr">
        <is>
          <t>リンギングの周波数が 100MHz を大きく超えない。C27 → IC4.5 → IC4.6 → D10 → C27 が数 mm に収まっていること</t>
        </is>
      </c>
      <c r="F11" s="66" t="inlineStr">
        <is>
          <t>MHz</t>
        </is>
      </c>
      <c r="G11" s="67" t="n"/>
      <c r="H11" s="67" t="n"/>
      <c r="I11" s="68" t="n"/>
    </row>
    <row r="12" ht="60.75" customHeight="1" s="49">
      <c r="A12" s="66" t="inlineStr">
        <is>
          <t>1-8</t>
        </is>
      </c>
      <c r="B12" s="62" t="inlineStr">
        <is>
          <t>3.3V 負荷電流（遮断時）</t>
        </is>
      </c>
      <c r="C12" s="62" t="inlineStr">
        <is>
          <t>VBUS 29.4V、非常停止を解除（J4 接点 ON）、マイコン未書込みまたは PA5 = H</t>
        </is>
      </c>
      <c r="D12" s="63" t="inlineStr">
        <is>
          <t>電源の電流表示から換算、または L2 に直列で測定</t>
        </is>
      </c>
      <c r="E12" s="63" t="inlineStr">
        <is>
          <t>約 15.9mA。内訳は EN チェーン 13mA（2.95V ÷ 220Ω、Q6 が ON で EN を 78mV に引くため）＋ MCU 等 1mA ＋ U3 INA240A2PW 1.8mA ＋ IC5 TLV9001 60µA。★ 2026-10-14 以降に U3 / IC5 を追加したため +1.9mA</t>
        </is>
      </c>
      <c r="F12" s="66" t="inlineStr">
        <is>
          <t>mA</t>
        </is>
      </c>
      <c r="G12" s="67" t="n"/>
      <c r="H12" s="67" t="n"/>
      <c r="I12" s="68" t="n"/>
    </row>
    <row r="13" ht="46.5" customHeight="1" s="49">
      <c r="A13" s="66" t="inlineStr">
        <is>
          <t>1-9</t>
        </is>
      </c>
      <c r="B13" s="62" t="inlineStr">
        <is>
          <t>3.3V 負荷電流（運転時）</t>
        </is>
      </c>
      <c r="C13" s="62" t="inlineStr">
        <is>
          <t>VBUS 29.4V、マイコン書込み済みで PA5 = L</t>
        </is>
      </c>
      <c r="D13" s="63" t="inlineStr">
        <is>
          <t>同上</t>
        </is>
      </c>
      <c r="E13" s="63" t="inlineStr">
        <is>
          <t>約 8.0mA。MCU 2mA ＋ LED3 2.8mA ＋ EN ループ 1.22mA ＋ U3 INA240A2PW 1.8mA ＋ IC5 TLV9001 60µA。0.6A 定格に対し十分</t>
        </is>
      </c>
      <c r="F13" s="66" t="inlineStr">
        <is>
          <t>mA</t>
        </is>
      </c>
      <c r="G13" s="67" t="n"/>
      <c r="H13" s="67" t="n"/>
      <c r="I13" s="68" t="n"/>
    </row>
    <row r="14" ht="31.5" customHeight="1" s="49">
      <c r="A14" s="66" t="inlineStr">
        <is>
          <t>1-10</t>
        </is>
      </c>
      <c r="B14" s="62" t="inlineStr">
        <is>
          <t>3.3V 負荷電流（待機時）</t>
        </is>
      </c>
      <c r="C14" s="62" t="inlineStr">
        <is>
          <t>VBUS 29.4V、非常停止を押した状態（J4 開放）、MCU は STOP</t>
        </is>
      </c>
      <c r="D14" s="63" t="inlineStr">
        <is>
          <t>同上</t>
        </is>
      </c>
      <c r="E14" s="62" t="inlineStr">
        <is>
          <t>約 1.9mA（U3 INA240A2PW 1.8mA typ ＋ IC5 TLV9001 60µA）。2.5mA 以下。★ U3 / IC5 は +3V3 に常時接続で J4 / PA5 では切れない。J4 が開くと EN チェーンの 13mA のみが消える</t>
        </is>
      </c>
      <c r="F14" s="66" t="inlineStr">
        <is>
          <t>mA</t>
        </is>
      </c>
      <c r="G14" s="67" t="n"/>
      <c r="H14" s="67" t="n"/>
      <c r="I14" s="68" t="n"/>
    </row>
    <row r="15" ht="46.5" customHeight="1" s="49">
      <c r="A15" s="66" t="inlineStr">
        <is>
          <t>1-11</t>
        </is>
      </c>
      <c r="B15" s="62" t="inlineStr">
        <is>
          <t>IC4 の温度</t>
        </is>
      </c>
      <c r="C15" s="62" t="inlineStr">
        <is>
          <t>1-8 の状態を 10 分継続</t>
        </is>
      </c>
      <c r="D15" s="62" t="inlineStr">
        <is>
          <t>IC4 パッケージ</t>
        </is>
      </c>
      <c r="E15" s="63" t="inlineStr">
        <is>
          <t>周囲＋10℃ 以内。15.9mA × 3.3V ÷ 効率 80% − 出力 = 約 13mW の損失</t>
        </is>
      </c>
      <c r="F15" s="66" t="inlineStr">
        <is>
          <t>℃</t>
        </is>
      </c>
      <c r="G15" s="67" t="n"/>
      <c r="H15" s="67" t="n"/>
      <c r="I15" s="68" t="n"/>
    </row>
    <row r="16" ht="17.25" customHeight="1" s="49">
      <c r="A16" s="66" t="inlineStr">
        <is>
          <t>1-12</t>
        </is>
      </c>
      <c r="B16" s="62" t="inlineStr">
        <is>
          <t>L2 の温度</t>
        </is>
      </c>
      <c r="C16" s="63" t="inlineStr">
        <is>
          <t>同上</t>
        </is>
      </c>
      <c r="D16" s="62" t="inlineStr">
        <is>
          <t>L2</t>
        </is>
      </c>
      <c r="E16" s="63" t="inlineStr">
        <is>
          <t>周囲＋5℃ 以内</t>
        </is>
      </c>
      <c r="F16" s="66" t="inlineStr">
        <is>
          <t>℃</t>
        </is>
      </c>
      <c r="G16" s="67" t="n"/>
      <c r="H16" s="67" t="n"/>
      <c r="I16" s="68" t="n"/>
    </row>
    <row r="18" ht="31.5" customHeight="1" s="49">
      <c r="A18" s="59" t="inlineStr">
        <is>
          <t>★ このフェーズでは Vout は出ません。3.3V レールは IC4 が VBUS（Q3 の前）から直接作っているため、Q3 が遮断されていても 3.3V は立ちます。Vout が出ないのは未書込み（または PA5 = H）によるフェイルセーフ動作で、正常です。</t>
        </is>
      </c>
    </row>
    <row r="19" ht="31.5" customHeight="1" s="49">
      <c r="A19" s="69" t="inlineStr">
        <is>
          <t>※ 1-8 の 13mA は設計仕様書に記載のない値です。EN_SRC 2.95V が R39 220Ω と Q6（Rds 約 6Ω）を通って GND に流れるため、遮断状態のほうが運転状態より 3.3V 負荷が重くなります。IC4 の 0.6A 定格に対しては問題ありませんが、長時間この状態で放置すると無駄に電力を消費します。待機させるときは非常停止を押して J4 を開放してください（1-10）。</t>
        </is>
      </c>
    </row>
    <row r="20" ht="17.25" customHeight="1" s="49">
      <c r="A20" s="69" t="inlineStr">
        <is>
          <t>※ 1-3 のリプルはグランドスプリングを使わないと測れません。10cm のグランドリードでは 0.7MHz のスイッチングノイズを拾って実際の 10 倍以上に見えます。</t>
        </is>
      </c>
    </row>
    <row r="21" ht="17.25" customHeight="1" s="49">
      <c r="A21" s="69" t="inlineStr">
        <is>
          <t>※ 1-6 で 60V を超える場合は、C27（2.2µF / 100V / 1210）と D10（SS210）の配置を見直してください。このループが IC4 周辺で最もノイズが大きい経路です。</t>
        </is>
      </c>
    </row>
    <row r="22" ht="17.25" customHeight="1" s="49">
      <c r="A22" s="69" t="inlineStr">
        <is>
          <t>※ IC4 の VIN 絶対最大は 65V、SW は 65V です。7S 満充電 29.4V に対し十分な余裕がありますが、1-6 のリンギング次第では SW が危険域に入ります。</t>
        </is>
      </c>
    </row>
  </sheetData>
  <mergeCells count="6">
    <mergeCell ref="A2:I2"/>
    <mergeCell ref="A19:I19"/>
    <mergeCell ref="A18:I18"/>
    <mergeCell ref="A22:I22"/>
    <mergeCell ref="A20:I20"/>
    <mergeCell ref="A21:I21"/>
  </mergeCells>
  <dataValidations count="1">
    <dataValidation sqref="H5:H16" showDropDown="0" showInputMessage="0" showErrorMessage="0" allowBlank="1" type="list" errorStyle="stop" operator="between">
      <formula1>"OK,NG,未実施"</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3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48" min="1" max="1"/>
    <col width="20" customWidth="1" style="48" min="2" max="2"/>
    <col width="34" customWidth="1" style="48" min="3" max="3"/>
    <col width="16" customWidth="1" style="48" min="4" max="4"/>
    <col width="26" customWidth="1" style="48" min="5" max="5"/>
    <col width="7" customWidth="1" style="48" min="6" max="6"/>
    <col width="12" customWidth="1" style="48" min="7" max="7"/>
    <col width="9" customWidth="1" style="48" min="8" max="8"/>
    <col width="26" customWidth="1" style="48" min="9" max="9"/>
  </cols>
  <sheetData>
    <row r="1" ht="21" customHeight="1" s="49">
      <c r="A1" s="50" t="inlineStr">
        <is>
          <t>2_MCU 書き込みと基本動作（IC6 / STM32C011F4P6）</t>
        </is>
      </c>
    </row>
    <row r="2" ht="27.75" customHeight="1" s="49">
      <c r="A2" s="64" t="inlineStr">
        <is>
          <t>可変電源 24V・電流制限 0.5A。JP1 の扱いが本フェーズの要点です。2-4 → 2-5 → 2-6 の順を守ってください。</t>
        </is>
      </c>
    </row>
    <row r="4" ht="30" customHeight="1" s="49">
      <c r="A4" s="65" t="inlineStr">
        <is>
          <t>No.</t>
        </is>
      </c>
      <c r="B4" s="61" t="inlineStr">
        <is>
          <t>項目</t>
        </is>
      </c>
      <c r="C4" s="61" t="inlineStr">
        <is>
          <t>手順・条件</t>
        </is>
      </c>
      <c r="D4" s="61" t="inlineStr">
        <is>
          <t>測定点</t>
        </is>
      </c>
      <c r="E4" s="61" t="inlineStr">
        <is>
          <t>設計値・判定基準</t>
        </is>
      </c>
      <c r="F4" s="61" t="inlineStr">
        <is>
          <t>単位</t>
        </is>
      </c>
      <c r="G4" s="61" t="inlineStr">
        <is>
          <t>実測値</t>
        </is>
      </c>
      <c r="H4" s="61" t="inlineStr">
        <is>
          <t>判定</t>
        </is>
      </c>
      <c r="I4" s="61" t="inlineStr">
        <is>
          <t>備考</t>
        </is>
      </c>
    </row>
    <row r="5" ht="104.25" customHeight="1" s="49">
      <c r="A5" s="66" t="inlineStr">
        <is>
          <t>2-1</t>
        </is>
      </c>
      <c r="B5" s="62" t="inlineStr">
        <is>
          <t>J6 の実装確認</t>
        </is>
      </c>
      <c r="C5" s="62" t="inlineStr">
        <is>
          <t>PCBA で実装済み。ルーペで目視</t>
        </is>
      </c>
      <c r="D5" s="62" t="inlineStr">
        <is>
          <t>J6</t>
        </is>
      </c>
      <c r="E5" s="62" t="inlineStr">
        <is>
          <t>5 本すべてはんだ付けされ、角パッド側（上端）が pin1 = +3V3 であることをシルクで確認する。★ 1 ピンずれて挿すと 3.3V レールに 5V が入り IC6 が壊れるので、ケーブルを挿す前に必ず向きを確認</t>
        </is>
      </c>
      <c r="F5" s="66" t="inlineStr">
        <is>
          <t>—</t>
        </is>
      </c>
      <c r="G5" s="67" t="n"/>
      <c r="H5" s="67" t="n"/>
      <c r="I5" s="68" t="n"/>
    </row>
    <row r="6" ht="75" customHeight="1" s="49">
      <c r="A6" s="66" t="inlineStr">
        <is>
          <t>2-2</t>
        </is>
      </c>
      <c r="B6" s="62" t="inlineStr">
        <is>
          <t>ST-LINK の給電方式判定</t>
        </is>
      </c>
      <c r="C6" s="62" t="inlineStr">
        <is>
          <t>ST-LINK を PC に挿し、基板に何も繋がない状態で VDD_TARGET 相当のピンと GND 間を測る</t>
        </is>
      </c>
      <c r="D6" s="62" t="inlineStr">
        <is>
          <t>ST-LINK 側</t>
        </is>
      </c>
      <c r="E6" s="62" t="inlineStr">
        <is>
          <t>3.3V = 出力型（互換品に多い）／0V = 入力型（純正）。★ 出力型の場合は 4 線ケーブル（SWDIO / SWCLK / NRST / GND）を使い、3.3V は繋がない</t>
        </is>
      </c>
      <c r="F6" s="66" t="inlineStr">
        <is>
          <t>V</t>
        </is>
      </c>
      <c r="G6" s="67" t="n"/>
      <c r="H6" s="67" t="n"/>
      <c r="I6" s="68" t="n"/>
    </row>
    <row r="7" ht="46.5" customHeight="1" s="49">
      <c r="A7" s="66" t="inlineStr">
        <is>
          <t>2-3</t>
        </is>
      </c>
      <c r="B7" s="62" t="inlineStr">
        <is>
          <t>SWD の認識</t>
        </is>
      </c>
      <c r="C7" s="62" t="inlineStr">
        <is>
          <t>VBUS 24V を投入し、ST-LINK で接続（4 線）</t>
        </is>
      </c>
      <c r="D7" s="62" t="inlineStr">
        <is>
          <t>J6</t>
        </is>
      </c>
      <c r="E7" s="62" t="inlineStr">
        <is>
          <t>ST-LINK Utility / CubeProgrammer が STM32C011 を認識すること</t>
        </is>
      </c>
      <c r="F7" s="66" t="inlineStr">
        <is>
          <t>—</t>
        </is>
      </c>
      <c r="G7" s="67" t="n"/>
      <c r="H7" s="67" t="n"/>
      <c r="I7" s="68" t="n"/>
    </row>
    <row r="8" ht="75" customHeight="1" s="49">
      <c r="A8" s="66" t="inlineStr">
        <is>
          <t>2-4</t>
        </is>
      </c>
      <c r="B8" s="63" t="inlineStr">
        <is>
          <t>★ 未書込み状態の確認</t>
        </is>
      </c>
      <c r="C8" s="62" t="inlineStr">
        <is>
          <t>VBUS 24V、JP1 開放、非常停止を解除。書き込み前に測る</t>
        </is>
      </c>
      <c r="D8" s="62" t="inlineStr">
        <is>
          <t>TP25 / TP7 / TP10</t>
        </is>
      </c>
      <c r="E8" s="62" t="inlineStr">
        <is>
          <t>TP25（EN_GATE）＝ 3.3V、TP7（EN）＜ 0.1V、TP10（Vout）＝ 0V。★ Vout が出ないのが正常。R42 1MΩ が EN_GATE を引き上げ Q6 が ON になっている</t>
        </is>
      </c>
      <c r="F8" s="66" t="inlineStr">
        <is>
          <t>V</t>
        </is>
      </c>
      <c r="G8" s="67" t="n"/>
      <c r="H8" s="67" t="n"/>
      <c r="I8" s="68" t="n"/>
    </row>
    <row r="9" ht="60.75" customHeight="1" s="49">
      <c r="A9" s="66" t="inlineStr">
        <is>
          <t>2-5</t>
        </is>
      </c>
      <c r="B9" s="62" t="inlineStr">
        <is>
          <t>JP1 ブリッジ時の動作</t>
        </is>
      </c>
      <c r="C9" s="62" t="inlineStr">
        <is>
          <t>JP1 をはんだブリッジし、VBUS 24V を再投入</t>
        </is>
      </c>
      <c r="D9" s="62" t="inlineStr">
        <is>
          <t>TP25 / TP7 / TP10</t>
        </is>
      </c>
      <c r="E9" s="62" t="inlineStr">
        <is>
          <t>TP25 ＝ 0V、TP7 ＝ 2.68V、TP10 ＝ Vout が立ち上がる。ファームウェア無しで電源部だけを動かせる状態</t>
        </is>
      </c>
      <c r="F9" s="66" t="inlineStr">
        <is>
          <t>V</t>
        </is>
      </c>
      <c r="G9" s="67" t="n"/>
      <c r="H9" s="67" t="n"/>
      <c r="I9" s="68" t="n"/>
    </row>
    <row r="10" ht="60.75" customHeight="1" s="49">
      <c r="A10" s="66" t="inlineStr">
        <is>
          <t>2-6</t>
        </is>
      </c>
      <c r="B10" s="62" t="inlineStr">
        <is>
          <t>★ JP1 の開放</t>
        </is>
      </c>
      <c r="C10" s="63" t="inlineStr">
        <is>
          <t>電源を落とし、JP1 のはんだブリッジを除去する</t>
        </is>
      </c>
      <c r="D10" s="62" t="inlineStr">
        <is>
          <t>JP1</t>
        </is>
      </c>
      <c r="E10" s="63" t="inlineStr">
        <is>
          <t>開放に戻したことを導通で確認（pad1 − pad2 が OL）。★ ブリッジしたままだとマイコンの遮断が一切効かない</t>
        </is>
      </c>
      <c r="F10" s="66" t="inlineStr">
        <is>
          <t>—</t>
        </is>
      </c>
      <c r="G10" s="67" t="n"/>
      <c r="H10" s="67" t="n"/>
      <c r="I10" s="68" t="n"/>
    </row>
    <row r="11" ht="31.5" customHeight="1" s="49">
      <c r="A11" s="66" t="inlineStr">
        <is>
          <t>2-7</t>
        </is>
      </c>
      <c r="B11" s="63" t="inlineStr">
        <is>
          <t>書き込み</t>
        </is>
      </c>
      <c r="C11" s="63" t="inlineStr">
        <is>
          <t>ファームウェアを書き込み、リセットする</t>
        </is>
      </c>
      <c r="D11" s="62" t="inlineStr">
        <is>
          <t>J6</t>
        </is>
      </c>
      <c r="E11" s="63" t="inlineStr">
        <is>
          <t>書き込みとベリファイが成功すること</t>
        </is>
      </c>
      <c r="F11" s="66" t="inlineStr">
        <is>
          <t>—</t>
        </is>
      </c>
      <c r="G11" s="67" t="n"/>
      <c r="H11" s="67" t="n"/>
      <c r="I11" s="68" t="n"/>
    </row>
    <row r="12" ht="60.75" customHeight="1" s="49">
      <c r="A12" s="66" t="inlineStr">
        <is>
          <t>2-8</t>
        </is>
      </c>
      <c r="B12" s="63" t="inlineStr">
        <is>
          <t>リセット直後の初期状態</t>
        </is>
      </c>
      <c r="C12" s="63" t="inlineStr">
        <is>
          <t>リセット後 10ms 以内を観測（Ch1 = TP28、Ch2 = TP10）</t>
        </is>
      </c>
      <c r="D12" s="62" t="inlineStr">
        <is>
          <t>TP28 / TP25 / TP10</t>
        </is>
      </c>
      <c r="E12" s="62" t="inlineStr">
        <is>
          <t>TP28（SHDN_REQ）＝ 3.3V、TP25 ＝ 3.3V、Vout ＝ 0V。ファームウェア #1 の「PA5 = H で開始」</t>
        </is>
      </c>
      <c r="F12" s="66" t="inlineStr">
        <is>
          <t>V</t>
        </is>
      </c>
      <c r="G12" s="67" t="n"/>
      <c r="H12" s="67" t="n"/>
      <c r="I12" s="68" t="n"/>
    </row>
    <row r="13" ht="46.5" customHeight="1" s="49">
      <c r="A13" s="66" t="inlineStr">
        <is>
          <t>2-9</t>
        </is>
      </c>
      <c r="B13" s="63" t="inlineStr">
        <is>
          <t>運転への移行</t>
        </is>
      </c>
      <c r="C13" s="62" t="inlineStr">
        <is>
          <t>ADC 校正とセンサ読みが終わるまでの時間を測る</t>
        </is>
      </c>
      <c r="D13" s="62" t="inlineStr">
        <is>
          <t>TP28 / TP10</t>
        </is>
      </c>
      <c r="E13" s="62" t="inlineStr">
        <is>
          <t>TP28 が Low に落ち、続いて Vout が立ち上がる。リセットから数十 ms 以内</t>
        </is>
      </c>
      <c r="F13" s="66" t="inlineStr">
        <is>
          <t>ms</t>
        </is>
      </c>
      <c r="G13" s="67" t="n"/>
      <c r="H13" s="67" t="n"/>
      <c r="I13" s="68" t="n"/>
    </row>
    <row r="14" ht="31.5" customHeight="1" s="49">
      <c r="A14" s="66" t="inlineStr">
        <is>
          <t>2-10</t>
        </is>
      </c>
      <c r="B14" s="63" t="inlineStr">
        <is>
          <t>運転時の EN 系電位</t>
        </is>
      </c>
      <c r="C14" s="62" t="inlineStr">
        <is>
          <t>VBUS 29.4V、運転中</t>
        </is>
      </c>
      <c r="D14" s="62" t="inlineStr">
        <is>
          <t>TP28 / TP25 / TP7</t>
        </is>
      </c>
      <c r="E14" s="62" t="inlineStr">
        <is>
          <t>TP28 ＝ 0V、TP25 ＜ 0.1V、TP7 ＝ 2.68V（設計値）</t>
        </is>
      </c>
      <c r="F14" s="66" t="inlineStr">
        <is>
          <t>V</t>
        </is>
      </c>
      <c r="G14" s="67" t="n"/>
      <c r="H14" s="67" t="n"/>
      <c r="I14" s="68" t="n"/>
    </row>
    <row r="15" ht="31.5" customHeight="1" s="49">
      <c r="A15" s="66" t="inlineStr">
        <is>
          <t>2-11</t>
        </is>
      </c>
      <c r="B15" s="62" t="inlineStr">
        <is>
          <t>EN_SRC 電圧</t>
        </is>
      </c>
      <c r="C15" s="63" t="inlineStr">
        <is>
          <t>同上</t>
        </is>
      </c>
      <c r="D15" s="62" t="inlineStr">
        <is>
          <t>D11 カソード（R39.1）− TP32</t>
        </is>
      </c>
      <c r="E15" s="62" t="inlineStr">
        <is>
          <t>2.95V（3.3V − BAT46W の VF 0.35V）</t>
        </is>
      </c>
      <c r="F15" s="66" t="inlineStr">
        <is>
          <t>V</t>
        </is>
      </c>
      <c r="G15" s="67" t="n"/>
      <c r="H15" s="67" t="n"/>
      <c r="I15" s="68" t="n"/>
    </row>
    <row r="16" ht="46.5" customHeight="1" s="49">
      <c r="A16" s="66" t="inlineStr">
        <is>
          <t>2-12</t>
        </is>
      </c>
      <c r="B16" s="62" t="inlineStr">
        <is>
          <t>NTC 駆動のデューティ</t>
        </is>
      </c>
      <c r="C16" s="62" t="inlineStr">
        <is>
          <t>TP27 を 10ms/div で観測</t>
        </is>
      </c>
      <c r="D16" s="62" t="inlineStr">
        <is>
          <t>TP27 − TP32</t>
        </is>
      </c>
      <c r="E16" s="62" t="inlineStr">
        <is>
          <t>50ms 周期で 0.5ms 幅の H パルス（デューティ約 1%）。ファームウェア #2</t>
        </is>
      </c>
      <c r="F16" s="66" t="inlineStr">
        <is>
          <t>ms</t>
        </is>
      </c>
      <c r="G16" s="67" t="n"/>
      <c r="H16" s="67" t="n"/>
      <c r="I16" s="68" t="n"/>
    </row>
    <row r="17" ht="46.5" customHeight="1" s="49">
      <c r="A17" s="66" t="inlineStr">
        <is>
          <t>2-13</t>
        </is>
      </c>
      <c r="B17" s="62" t="inlineStr">
        <is>
          <t>TH1_SENSE の電圧</t>
        </is>
      </c>
      <c r="C17" s="62" t="inlineStr">
        <is>
          <t>TP27 が H の区間で TP26 を読む（オシロのカーソル、または SWD で ADC 値を読む）</t>
        </is>
      </c>
      <c r="D17" s="62" t="inlineStr">
        <is>
          <t>TP26 − TP32</t>
        </is>
      </c>
      <c r="E17" s="63" t="inlineStr">
        <is>
          <t>室温 25℃ で 2.750V ±5%。65℃ で 1.685V、95℃ で 0.950V</t>
        </is>
      </c>
      <c r="F17" s="66" t="inlineStr">
        <is>
          <t>V</t>
        </is>
      </c>
      <c r="G17" s="67" t="n"/>
      <c r="H17" s="67" t="n"/>
      <c r="I17" s="68" t="n"/>
    </row>
    <row r="18" ht="17.25" customHeight="1" s="49">
      <c r="A18" s="66" t="inlineStr">
        <is>
          <t>2-14</t>
        </is>
      </c>
      <c r="B18" s="62" t="inlineStr">
        <is>
          <t>TH2_SENSE の電圧</t>
        </is>
      </c>
      <c r="C18" s="63" t="inlineStr">
        <is>
          <t>同上</t>
        </is>
      </c>
      <c r="D18" s="62" t="inlineStr">
        <is>
          <t>TP31 − TP32</t>
        </is>
      </c>
      <c r="E18" s="63" t="inlineStr">
        <is>
          <t>同上（TH1 と同じ分圧定数）</t>
        </is>
      </c>
      <c r="F18" s="66" t="inlineStr">
        <is>
          <t>V</t>
        </is>
      </c>
      <c r="G18" s="67" t="n"/>
      <c r="H18" s="67" t="n"/>
      <c r="I18" s="68" t="n"/>
    </row>
    <row r="19" ht="31.5" customHeight="1" s="49">
      <c r="A19" s="66" t="inlineStr">
        <is>
          <t>2-15</t>
        </is>
      </c>
      <c r="B19" s="62" t="inlineStr">
        <is>
          <t>VBUS_SENSE の読み</t>
        </is>
      </c>
      <c r="C19" s="62" t="inlineStr">
        <is>
          <t>SWD で ADC 値を読み、DMM の TP4 実測値と比較</t>
        </is>
      </c>
      <c r="D19" s="62" t="inlineStr">
        <is>
          <t>IC6.8 / TP4</t>
        </is>
      </c>
      <c r="E19" s="62" t="inlineStr">
        <is>
          <t>ADC 換算値 ＝ TP4 ÷ 11。29.4V で 2.673V。誤差 ±2% 以内</t>
        </is>
      </c>
      <c r="F19" s="66" t="inlineStr">
        <is>
          <t>V</t>
        </is>
      </c>
      <c r="G19" s="67" t="n"/>
      <c r="H19" s="67" t="n"/>
      <c r="I19" s="68" t="n"/>
    </row>
    <row r="20" ht="31.5" customHeight="1" s="49">
      <c r="A20" s="66" t="inlineStr">
        <is>
          <t>2-16</t>
        </is>
      </c>
      <c r="B20" s="62" t="inlineStr">
        <is>
          <t>VOUT_SENSE の読み</t>
        </is>
      </c>
      <c r="C20" s="63" t="inlineStr">
        <is>
          <t>同上</t>
        </is>
      </c>
      <c r="D20" s="62" t="inlineStr">
        <is>
          <t>IC6.9 / TP10</t>
        </is>
      </c>
      <c r="E20" s="62" t="inlineStr">
        <is>
          <t>ADC 換算値 ＝ TP10 ÷ 11。誤差 ±2% 以内</t>
        </is>
      </c>
      <c r="F20" s="66" t="inlineStr">
        <is>
          <t>V</t>
        </is>
      </c>
      <c r="G20" s="67" t="n"/>
      <c r="H20" s="67" t="n"/>
      <c r="I20" s="68" t="n"/>
    </row>
    <row r="21" ht="46.5" customHeight="1" s="49">
      <c r="A21" s="66" t="inlineStr">
        <is>
          <t>2-17</t>
        </is>
      </c>
      <c r="B21" s="62" t="inlineStr">
        <is>
          <t>LED3 の動作</t>
        </is>
      </c>
      <c r="C21" s="62" t="inlineStr">
        <is>
          <t>VBUS 29.4V（正常）と 20V（低電圧）で比較</t>
        </is>
      </c>
      <c r="D21" s="62" t="inlineStr">
        <is>
          <t>LED3（基板上）</t>
        </is>
      </c>
      <c r="E21" s="63" t="inlineStr">
        <is>
          <t>正常時は点灯または消灯（ファームウェア実装による）。VBUS &lt; 21.0V で低速点滅（#9）</t>
        </is>
      </c>
      <c r="F21" s="66" t="inlineStr">
        <is>
          <t>—</t>
        </is>
      </c>
      <c r="G21" s="67" t="n"/>
      <c r="H21" s="67" t="n"/>
      <c r="I21" s="68" t="n"/>
    </row>
    <row r="22" ht="46.5" customHeight="1" s="49">
      <c r="A22" s="66" t="inlineStr">
        <is>
          <t>2-18</t>
        </is>
      </c>
      <c r="B22" s="63" t="inlineStr">
        <is>
          <t>マイコン能動遮断の応答</t>
        </is>
      </c>
      <c r="C22" s="62" t="inlineStr">
        <is>
          <t>SWD または試験コマンドで PA5 を H にし、TP7 の立ち下がりを観測（Ch1 = TP28、Ch2 = TP7）</t>
        </is>
      </c>
      <c r="D22" s="62" t="inlineStr">
        <is>
          <t>TP28 / TP7</t>
        </is>
      </c>
      <c r="E22" s="62" t="inlineStr">
        <is>
          <t>TP7 が 0.8V を切るまで約 50µs（τ = R48 220Ω × C20 100nF = 22µs）</t>
        </is>
      </c>
      <c r="F22" s="66" t="inlineStr">
        <is>
          <t>µs</t>
        </is>
      </c>
      <c r="G22" s="67" t="n"/>
      <c r="H22" s="67" t="n"/>
      <c r="I22" s="68" t="n"/>
    </row>
    <row r="23" ht="60.75" customHeight="1" s="49">
      <c r="A23" s="66" t="inlineStr">
        <is>
          <t>2-19</t>
        </is>
      </c>
      <c r="B23" s="63" t="inlineStr">
        <is>
          <t>マイコン死亡時の遮断</t>
        </is>
      </c>
      <c r="C23" s="62" t="inlineStr">
        <is>
          <t>NRST（J6 pin4）を GND に保持し続ける。PA5 が Hi-Z になる</t>
        </is>
      </c>
      <c r="D23" s="62" t="inlineStr">
        <is>
          <t>TP25 / TP10</t>
        </is>
      </c>
      <c r="E23" s="62" t="inlineStr">
        <is>
          <t>TP25 が上昇し、約 93ms 後に Vout が落ちること。R42 1MΩ × C20 100nF、Vgs 2.0V 到達まで</t>
        </is>
      </c>
      <c r="F23" s="66" t="inlineStr">
        <is>
          <t>ms</t>
        </is>
      </c>
      <c r="G23" s="67" t="n"/>
      <c r="H23" s="67" t="n"/>
      <c r="I23" s="68" t="n"/>
    </row>
    <row r="24" ht="46.5" customHeight="1" s="49">
      <c r="A24" s="66" t="inlineStr">
        <is>
          <t>2-20</t>
        </is>
      </c>
      <c r="B24" s="63" t="inlineStr">
        <is>
          <t>短時間リセットのライドスルー</t>
        </is>
      </c>
      <c r="C24" s="62" t="inlineStr">
        <is>
          <t>NRST に 2ms の Low パルスを与える</t>
        </is>
      </c>
      <c r="D24" s="62" t="inlineStr">
        <is>
          <t>TP25 / TP10</t>
        </is>
      </c>
      <c r="E24" s="62" t="inlineStr">
        <is>
          <t>TP25 のピークが 65mV 程度に留まり、Vout が切れないこと。Vgs = 3.3(1 − e^(−2/100))</t>
        </is>
      </c>
      <c r="F24" s="66" t="inlineStr">
        <is>
          <t>mV</t>
        </is>
      </c>
      <c r="G24" s="67" t="n"/>
      <c r="H24" s="67" t="n"/>
      <c r="I24" s="68" t="n"/>
    </row>
    <row r="25" ht="46.5" customHeight="1" s="49">
      <c r="A25" s="66" t="inlineStr">
        <is>
          <t>2-21</t>
        </is>
      </c>
      <c r="B25" s="62" t="inlineStr">
        <is>
          <t>STOP モード移行</t>
        </is>
      </c>
      <c r="C25" s="63" t="inlineStr">
        <is>
          <t>非常停止を押して J4 を開放し、100ms 以上保持</t>
        </is>
      </c>
      <c r="D25" s="62" t="inlineStr">
        <is>
          <t>TP28 / 電源の電流表示</t>
        </is>
      </c>
      <c r="E25" s="62" t="inlineStr">
        <is>
          <t>#12 により STOP モードへ。待機電流が 3-10 の値（再計算後の暫定 460µA）まで下がること</t>
        </is>
      </c>
      <c r="F25" s="66" t="inlineStr">
        <is>
          <t>µA</t>
        </is>
      </c>
      <c r="G25" s="67" t="n"/>
      <c r="H25" s="67" t="n"/>
      <c r="I25" s="68" t="n"/>
    </row>
    <row r="26" ht="60.75" customHeight="1" s="49">
      <c r="A26" s="66" t="inlineStr">
        <is>
          <t>2-22</t>
        </is>
      </c>
      <c r="B26" s="62" t="inlineStr">
        <is>
          <t>STOP からの復帰</t>
        </is>
      </c>
      <c r="C26" s="63" t="inlineStr">
        <is>
          <t>非常停止を解除する</t>
        </is>
      </c>
      <c r="D26" s="62" t="inlineStr">
        <is>
          <t>TP10 / TP26</t>
        </is>
      </c>
      <c r="E26" s="62" t="inlineStr">
        <is>
          <t>EN が即座に立ち上がって Vout が出る。同時に EXTI で MCU が復帰し、数 ms 以内に TH1 を読むこと</t>
        </is>
      </c>
      <c r="F26" s="66" t="inlineStr">
        <is>
          <t>ms</t>
        </is>
      </c>
      <c r="G26" s="67" t="n"/>
      <c r="H26" s="67" t="n"/>
      <c r="I26" s="68" t="n"/>
    </row>
    <row r="28" ht="31.5" customHeight="1" s="49">
      <c r="A28" s="71" t="inlineStr">
        <is>
          <t>★ 2-4 → 2-5 → 2-6 の順を必ず守ってください。2-4 で「Vout が出ない」ことを確認しないまま 2-5 で JP1 をブリッジすると、フェイルセーフが働いているのか電源部が壊れているのかが切り分けられなくなります。また 2-6 で JP1 を開放に戻し忘れると、以降のフェーズ 5（保護機能）はすべて無意味になります。</t>
        </is>
      </c>
    </row>
    <row r="29" ht="17.25" customHeight="1" s="49">
      <c r="A29" s="69" t="inlineStr">
        <is>
          <t>※ JP1 は Jumper:SolderJumper-2_P1.3mm_Open_Pad1.0x1.5mm の基板パターンで、部品は実装しません（BOM にも載せません）。pad1 = GND、pad2 = EN_GATE です。</t>
        </is>
      </c>
    </row>
    <row r="30" ht="31.5" customHeight="1" s="49">
      <c r="A30" s="69" t="inlineStr">
        <is>
          <t>※ 2-5 で Vout が出ない場合、原因は JP1 より下流（IC3 / Q3 / UVLO）にあります。TP7 が 2.68V まで上がっているかで切り分けてください。TP7 が上がっていて Vout が出ないなら IC3 以降、TP7 が上がらないなら EN チェーン（D11 / R39 / J4 / R40）です。</t>
        </is>
      </c>
    </row>
    <row r="31" ht="31.5" customHeight="1" s="49">
      <c r="A31" s="69" t="inlineStr">
        <is>
          <t>※ 2-13 / 2-14 は PA7（NTC_DRV）が H の 0.5ms の間しか有効な電圧が出ません。DMM で測ると平均値（約 27mV）が読めるだけです。オシロのカーソルか、SWD で ADC の生値を読んでください。</t>
        </is>
      </c>
    </row>
    <row r="32" ht="17.25" customHeight="1" s="49">
      <c r="A32" s="69" t="inlineStr">
        <is>
          <t>※ 2-18 の 50µs は v2.1.1 の非常停止応答 266µs（ハードウェア経路）より速い値です。どちらも設計どおりで、ソフト経由のほうが C20 が小さく見えるぶん速くなります。</t>
        </is>
      </c>
    </row>
    <row r="33" ht="17.25" customHeight="1" s="49">
      <c r="A33" s="69" t="inlineStr">
        <is>
          <t>※ 2-19 の 93ms は「マイコンが死んでも 93ms で自動遮断される」という設計の核です。ここが測れないと故障モード表の「マイコン未書込み／死亡 → 安全」が検証できません。</t>
        </is>
      </c>
    </row>
    <row r="34" ht="17.25" customHeight="1" s="49">
      <c r="A34" s="69" t="inlineStr">
        <is>
          <t>※ 2-20 と 2-19 は同じ回路の両面です。2ms のリセットでは切れず（走行継続）、恒久的な死亡では 93ms で切れる。C20 100nF がこの境目を決めています。</t>
        </is>
      </c>
    </row>
    <row r="35" ht="31.5" customHeight="1" s="49">
      <c r="A35" s="70" t="inlineStr">
        <is>
          <t>※ デバッグビルドでは IWDG をフリーズ（DBGMCU_APB_FZR1 の DBG_IWDG_STOP）し、ファームウェア #11（IWDG リセット 3 回でラッチ）を無効化してください。有効のままだとブレークのたびに誤発火します。</t>
        </is>
      </c>
    </row>
  </sheetData>
  <mergeCells count="9">
    <mergeCell ref="A29:I29"/>
    <mergeCell ref="A33:I33"/>
    <mergeCell ref="A2:I2"/>
    <mergeCell ref="A28:I28"/>
    <mergeCell ref="A32:I32"/>
    <mergeCell ref="A31:I31"/>
    <mergeCell ref="A34:I34"/>
    <mergeCell ref="A35:I35"/>
    <mergeCell ref="A30:I30"/>
  </mergeCells>
  <dataValidations count="1">
    <dataValidation sqref="H5:H26" showDropDown="0" showInputMessage="0" showErrorMessage="0" allowBlank="1" type="list" errorStyle="stop" operator="between">
      <formula1>"OK,NG,未実施"</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I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48" min="1" max="1"/>
    <col width="20" customWidth="1" style="48" min="2" max="2"/>
    <col width="34" customWidth="1" style="48" min="3" max="3"/>
    <col width="16" customWidth="1" style="48" min="4" max="4"/>
    <col width="26" customWidth="1" style="48" min="5" max="5"/>
    <col width="7" customWidth="1" style="48" min="6" max="6"/>
    <col width="12" customWidth="1" style="48" min="7" max="7"/>
    <col width="9" customWidth="1" style="48" min="8" max="8"/>
    <col width="26" customWidth="1" style="48" min="9" max="9"/>
  </cols>
  <sheetData>
    <row r="1" ht="21" customHeight="1" s="49">
      <c r="A1" s="50" t="inlineStr">
        <is>
          <t>3_低電圧基本動作</t>
        </is>
      </c>
    </row>
    <row r="2" ht="31.5" customHeight="1" s="49">
      <c r="A2" s="64" t="inlineStr">
        <is>
          <t>可変電源を電流制限 0.5A に設定し、J1 に接続して実施。パックと MDDS30 はまだ接続しない。マイコンは書込み済み・JP1 開放の状態で行うこと。3-10 を除き、非常停止ボタンは解除（スイッチ ON）の状態で実施。</t>
        </is>
      </c>
    </row>
    <row r="4" ht="30" customHeight="1" s="49">
      <c r="A4" s="65" t="inlineStr">
        <is>
          <t>No.</t>
        </is>
      </c>
      <c r="B4" s="61" t="inlineStr">
        <is>
          <t>項目</t>
        </is>
      </c>
      <c r="C4" s="61" t="inlineStr">
        <is>
          <t>手順・条件</t>
        </is>
      </c>
      <c r="D4" s="61" t="inlineStr">
        <is>
          <t>測定点</t>
        </is>
      </c>
      <c r="E4" s="61" t="inlineStr">
        <is>
          <t>設計値・判定基準</t>
        </is>
      </c>
      <c r="F4" s="61" t="inlineStr">
        <is>
          <t>単位</t>
        </is>
      </c>
      <c r="G4" s="61" t="inlineStr">
        <is>
          <t>実測値</t>
        </is>
      </c>
      <c r="H4" s="61" t="inlineStr">
        <is>
          <t>判定</t>
        </is>
      </c>
      <c r="I4" s="61" t="inlineStr">
        <is>
          <t>備考</t>
        </is>
      </c>
    </row>
    <row r="5" ht="31.5" customHeight="1" s="49">
      <c r="A5" s="66" t="inlineStr">
        <is>
          <t>3-1</t>
        </is>
      </c>
      <c r="B5" s="62" t="inlineStr">
        <is>
          <t>UVLO 遮断→復帰</t>
        </is>
      </c>
      <c r="C5" s="63" t="inlineStr">
        <is>
          <t>電源電圧を 0V から徐々に上げる（非常停止は解除状態）</t>
        </is>
      </c>
      <c r="D5" s="62" t="inlineStr">
        <is>
          <t>TP10 / TP19</t>
        </is>
      </c>
      <c r="E5" s="62" t="inlineStr">
        <is>
          <t>19.5V 付近で Q3 が ON</t>
        </is>
      </c>
      <c r="F5" s="66" t="inlineStr">
        <is>
          <t>V</t>
        </is>
      </c>
      <c r="G5" s="67" t="n"/>
      <c r="H5" s="67" t="n"/>
      <c r="I5" s="68" t="n"/>
    </row>
    <row r="6" ht="31.5" customHeight="1" s="49">
      <c r="A6" s="66" t="inlineStr">
        <is>
          <t>3-2</t>
        </is>
      </c>
      <c r="B6" s="62" t="inlineStr">
        <is>
          <t>UVLO ヒステリシス</t>
        </is>
      </c>
      <c r="C6" s="63" t="inlineStr">
        <is>
          <t>電圧を徐々に下げる（同上）</t>
        </is>
      </c>
      <c r="D6" s="62" t="inlineStr">
        <is>
          <t>TP10 / TP19</t>
        </is>
      </c>
      <c r="E6" s="62" t="inlineStr">
        <is>
          <t>17.4V 付近で OFF（v2.1.1 実測 17.95V）</t>
        </is>
      </c>
      <c r="F6" s="66" t="inlineStr">
        <is>
          <t>V</t>
        </is>
      </c>
      <c r="G6" s="67" t="n"/>
      <c r="H6" s="67" t="n"/>
      <c r="I6" s="68" t="n"/>
    </row>
    <row r="7" ht="60.75" customHeight="1" s="49">
      <c r="A7" s="66" t="inlineStr">
        <is>
          <t>3-3</t>
        </is>
      </c>
      <c r="B7" s="62" t="inlineStr">
        <is>
          <t>OVP 遮断</t>
        </is>
      </c>
      <c r="C7" s="63" t="inlineStr">
        <is>
          <t>電圧を 35V まで上げる（同上）</t>
        </is>
      </c>
      <c r="D7" s="62" t="inlineStr">
        <is>
          <t>TP10 / TP19</t>
        </is>
      </c>
      <c r="E7" s="62" t="inlineStr">
        <is>
          <t>34.0V 付近で OFF。★ 32.2V でチョッパが導通して R11 が 5.2W を食うので速やかに通過させる</t>
        </is>
      </c>
      <c r="F7" s="66" t="inlineStr">
        <is>
          <t>V</t>
        </is>
      </c>
      <c r="G7" s="67" t="n"/>
      <c r="H7" s="67" t="n"/>
      <c r="I7" s="68" t="n"/>
    </row>
    <row r="8" ht="17.25" customHeight="1" s="49">
      <c r="A8" s="66" t="inlineStr">
        <is>
          <t>3-4</t>
        </is>
      </c>
      <c r="B8" s="62" t="inlineStr">
        <is>
          <t>OVP 復帰</t>
        </is>
      </c>
      <c r="C8" s="63" t="inlineStr">
        <is>
          <t>電圧を下げる（同上）</t>
        </is>
      </c>
      <c r="D8" s="62" t="inlineStr">
        <is>
          <t>TP10 / TP19</t>
        </is>
      </c>
      <c r="E8" s="62" t="inlineStr">
        <is>
          <t>30.1V 付近で復帰</t>
        </is>
      </c>
      <c r="F8" s="66" t="inlineStr">
        <is>
          <t>V</t>
        </is>
      </c>
      <c r="G8" s="67" t="n"/>
      <c r="H8" s="67" t="n"/>
      <c r="I8" s="68" t="n"/>
    </row>
    <row r="9" ht="31.5" customHeight="1" s="49">
      <c r="A9" s="66" t="inlineStr">
        <is>
          <t>3-5</t>
        </is>
      </c>
      <c r="B9" s="63" t="inlineStr">
        <is>
          <t>非常停止スイッチ</t>
        </is>
      </c>
      <c r="C9" s="63" t="inlineStr">
        <is>
          <t>ボタンを押す／ひねって解除</t>
        </is>
      </c>
      <c r="D9" s="62" t="inlineStr">
        <is>
          <t>TP10 / TP19</t>
        </is>
      </c>
      <c r="E9" s="63" t="inlineStr">
        <is>
          <t>押すと OFF、解除で ON（NC 接点）</t>
        </is>
      </c>
      <c r="F9" s="66" t="inlineStr">
        <is>
          <t>—</t>
        </is>
      </c>
      <c r="G9" s="67" t="n"/>
      <c r="H9" s="67" t="n"/>
      <c r="I9" s="68" t="n"/>
    </row>
    <row r="10" ht="46.5" customHeight="1" s="49">
      <c r="A10" s="66" t="inlineStr">
        <is>
          <t>3-6</t>
        </is>
      </c>
      <c r="B10" s="63" t="inlineStr">
        <is>
          <t>非常停止の応答時間</t>
        </is>
      </c>
      <c r="C10" s="63" t="inlineStr">
        <is>
          <t>押した瞬間を観測（Ch1 = TP7、Ch2 = TP10）</t>
        </is>
      </c>
      <c r="D10" s="62" t="inlineStr">
        <is>
          <t>TP7 / TP2</t>
        </is>
      </c>
      <c r="E10" s="62" t="inlineStr">
        <is>
          <t>TP7 が 0.8V を切るまで約 266µs（τ = R40 2.2kΩ × C12 100nF = 220µs、2.68V → 0.8V）</t>
        </is>
      </c>
      <c r="F10" s="66" t="inlineStr">
        <is>
          <t>µs</t>
        </is>
      </c>
      <c r="G10" s="67" t="n"/>
      <c r="H10" s="67" t="n"/>
      <c r="I10" s="68" t="n"/>
    </row>
    <row r="11" ht="46.5" customHeight="1" s="49">
      <c r="A11" s="66" t="inlineStr">
        <is>
          <t>3-7</t>
        </is>
      </c>
      <c r="B11" s="62" t="inlineStr">
        <is>
          <t>EN 電圧（運転時）</t>
        </is>
      </c>
      <c r="C11" s="62" t="inlineStr">
        <is>
          <t>25℃、バス 29.4V、非常停止解除</t>
        </is>
      </c>
      <c r="D11" s="62" t="inlineStr">
        <is>
          <t>TP7 / TP2</t>
        </is>
      </c>
      <c r="E11" s="62" t="inlineStr">
        <is>
          <t>2.68V。★ v2.1.1 の 3.9V（D8 クランプ）から変わった。3.3V 系ロジックになったため</t>
        </is>
      </c>
      <c r="F11" s="66" t="inlineStr">
        <is>
          <t>V</t>
        </is>
      </c>
      <c r="G11" s="67" t="n"/>
      <c r="H11" s="67" t="n"/>
      <c r="I11" s="68" t="n"/>
    </row>
    <row r="12" ht="31.5" customHeight="1" s="49">
      <c r="A12" s="66" t="inlineStr">
        <is>
          <t>3-8</t>
        </is>
      </c>
      <c r="B12" s="62" t="inlineStr">
        <is>
          <t>EN 電圧（Q6 ON 時）</t>
        </is>
      </c>
      <c r="C12" s="62" t="inlineStr">
        <is>
          <t>PA5 = H またはマイコン未書込み</t>
        </is>
      </c>
      <c r="D12" s="62" t="inlineStr">
        <is>
          <t>TP7 / TP2</t>
        </is>
      </c>
      <c r="E12" s="62" t="inlineStr">
        <is>
          <t>78mV（2.95V × 6Ω ÷ 226Ω）。ENTHL 0.8V を十分下回る</t>
        </is>
      </c>
      <c r="F12" s="66" t="inlineStr">
        <is>
          <t>mV</t>
        </is>
      </c>
      <c r="G12" s="67" t="n"/>
      <c r="H12" s="67" t="n"/>
      <c r="I12" s="68" t="n"/>
    </row>
    <row r="13" ht="17.25" customHeight="1" s="49">
      <c r="A13" s="66" t="inlineStr">
        <is>
          <t>3-9</t>
        </is>
      </c>
      <c r="B13" s="62" t="inlineStr">
        <is>
          <t>LED1 点灯</t>
        </is>
      </c>
      <c r="C13" s="62" t="inlineStr">
        <is>
          <t>Q3 が ON の状態（同上）</t>
        </is>
      </c>
      <c r="D13" s="62" t="inlineStr">
        <is>
          <t>LED1（基板上）</t>
        </is>
      </c>
      <c r="E13" s="63" t="inlineStr">
        <is>
          <t>点灯すること（NPGD が Low）</t>
        </is>
      </c>
      <c r="F13" s="66" t="inlineStr">
        <is>
          <t>—</t>
        </is>
      </c>
      <c r="G13" s="67" t="n"/>
      <c r="H13" s="67" t="n"/>
      <c r="I13" s="68" t="n"/>
    </row>
    <row r="14" ht="60.75" customHeight="1" s="49">
      <c r="A14" s="66" t="inlineStr">
        <is>
          <t>3-10</t>
        </is>
      </c>
      <c r="B14" s="63" t="inlineStr">
        <is>
          <t>待機電流</t>
        </is>
      </c>
      <c r="C14" s="63" t="inlineStr">
        <is>
          <t>非常停止ボタンを押した状態、バス 29.4V、MCU は STOP</t>
        </is>
      </c>
      <c r="D14" s="63" t="inlineStr">
        <is>
          <t>電源の電流表示</t>
        </is>
      </c>
      <c r="E14" s="63" t="inlineStr">
        <is>
          <t>約 460µA（暫定）。★ v2.1.1 の 60µA から増加。v3.0.0 設計値 203µA に、U3 INA240A2PW 1.8mA ＋ IC5 TLV9001 60µA を IC4（効率 80%）経由で VBUS 29.4V 側に換算した 261µA を加算。内訳は 1-8〜1-10 を参照</t>
        </is>
      </c>
      <c r="F14" s="66" t="inlineStr">
        <is>
          <t>µA</t>
        </is>
      </c>
      <c r="G14" s="67" t="n"/>
      <c r="H14" s="67" t="n"/>
      <c r="I14" s="68" t="n"/>
    </row>
    <row r="15" ht="31.5" customHeight="1" s="49">
      <c r="A15" s="66" t="inlineStr">
        <is>
          <t>3-11</t>
        </is>
      </c>
      <c r="B15" s="62" t="inlineStr">
        <is>
          <t>VBUS センス分圧の確認</t>
        </is>
      </c>
      <c r="C15" s="62" t="inlineStr">
        <is>
          <t>VBUS 29.4V</t>
        </is>
      </c>
      <c r="D15" s="62" t="inlineStr">
        <is>
          <t>TP4 / IC6.8</t>
        </is>
      </c>
      <c r="E15" s="62" t="inlineStr">
        <is>
          <t>IC6.8 ＝ TP4 ÷ 11 ＝ 2.673V。R32 1MΩ / R33 100kΩ</t>
        </is>
      </c>
      <c r="F15" s="66" t="inlineStr">
        <is>
          <t>V</t>
        </is>
      </c>
      <c r="G15" s="67" t="n"/>
      <c r="H15" s="67" t="n"/>
      <c r="I15" s="68" t="n"/>
    </row>
    <row r="17" ht="17.25" customHeight="1" s="49">
      <c r="A17" s="69" t="inlineStr">
        <is>
          <t>※ 3-1〜3-4 が設計値と大きくずれる場合、R2 / R3 / R4 の実装と値を確認してください。これらは v2.1.1 から変更していません。</t>
        </is>
      </c>
    </row>
    <row r="18" ht="31.5" customHeight="1" s="49">
      <c r="A18" s="69" t="inlineStr">
        <is>
          <t>※ 3-7 は v2.1.1 からの最大の変更点です。v2.1.1 の EN は VBUS からの分圧で D8（BZT52C3V9）が 3.9V にクランプしていました。v3.0.0 は +3V3 → D11 → R39 220Ω → J4 → R40 2.2kΩ の 3.3V 系ロジックで、D8 は ESD 保護に役割が変わっています。</t>
        </is>
      </c>
    </row>
    <row r="19" ht="17.25" customHeight="1" s="49">
      <c r="A19" s="69" t="inlineStr">
        <is>
          <t>※ 3-8 は 1-8 と同じ状態の別の見方です。TP7 が 78mV のとき EN チェーンには 13mA が流れています。</t>
        </is>
      </c>
    </row>
    <row r="20" ht="17.25" customHeight="1" s="49">
      <c r="A20" s="69" t="inlineStr">
        <is>
          <t>※ 3-10：外部 LED は Vout から駆動されるため、遮断時は消灯し待機電流に加算されません。</t>
        </is>
      </c>
    </row>
    <row r="21" ht="17.25" customHeight="1" s="49">
      <c r="A21" s="69" t="inlineStr">
        <is>
          <t>※ J4 の接点は NC（ノーマルクローズ）です。非常停止ボタンが押された状態では EN 経路が開いており、Vout は出ません。3-1〜3-9 は必ずボタンを解除してから実施してください。</t>
        </is>
      </c>
    </row>
    <row r="22" ht="17.25" customHeight="1" s="49">
      <c r="A22" s="69" t="inlineStr">
        <is>
          <t>※ J4 にスイッチを接続せずに試験する場合は、pin3 − pin4 間を短絡して接点 ON を模擬してください。開放のままでは Vout が立ち上がりません。</t>
        </is>
      </c>
    </row>
    <row r="23" ht="31.5" customHeight="1" s="49">
      <c r="A23" s="69" t="inlineStr">
        <is>
          <t>※ v2.1.1 の 9_ENしきい値選別（EN しきい値による遮断点の選別試験）は v3.0.0 では不要になりました。遮断点が LM5060 の EN しきい値ばらつき（0.80〜2.00V）ではなくファームウェアの定数で決まるためです。EN は 2.68V と 78mV の 2 値だけを取り、どちらも ENTHH 2.00V / ENTHL 0.80V から十分離れています。</t>
        </is>
      </c>
    </row>
  </sheetData>
  <mergeCells count="8">
    <mergeCell ref="A2:I2"/>
    <mergeCell ref="A19:I19"/>
    <mergeCell ref="A17:I17"/>
    <mergeCell ref="A18:I18"/>
    <mergeCell ref="A23:I23"/>
    <mergeCell ref="A22:I22"/>
    <mergeCell ref="A20:I20"/>
    <mergeCell ref="A21:I21"/>
  </mergeCells>
  <dataValidations count="1">
    <dataValidation sqref="H5:H15" showDropDown="0" showInputMessage="0" showErrorMessage="0" allowBlank="1" type="list" errorStyle="stop" operator="between">
      <formula1>"OK,NG,未実施"</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I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48" min="1" max="1"/>
    <col width="20" customWidth="1" style="48" min="2" max="2"/>
    <col width="34" customWidth="1" style="48" min="3" max="3"/>
    <col width="16" customWidth="1" style="48" min="4" max="4"/>
    <col width="26" customWidth="1" style="48" min="5" max="5"/>
    <col width="7" customWidth="1" style="48" min="6" max="6"/>
    <col width="12" customWidth="1" style="48" min="7" max="7"/>
    <col width="9" customWidth="1" style="48" min="8" max="8"/>
    <col width="26" customWidth="1" style="48" min="9" max="9"/>
  </cols>
  <sheetData>
    <row r="1" ht="21" customHeight="1" s="49">
      <c r="A1" s="50" t="inlineStr">
        <is>
          <t>4_起動波形</t>
        </is>
      </c>
    </row>
    <row r="2" ht="27.75" customHeight="1" s="49">
      <c r="A2" s="72" t="inlineStr">
        <is>
          <t>MDDS30 を接続して実施。★電源の電流制限は 3A 以上に設定すること（突入 2A）。不足すると UVLO リトライで階段状の波形になり、測定が無効になる。</t>
        </is>
      </c>
    </row>
    <row r="4" ht="30" customHeight="1" s="49">
      <c r="A4" s="65" t="inlineStr">
        <is>
          <t>No.</t>
        </is>
      </c>
      <c r="B4" s="61" t="inlineStr">
        <is>
          <t>項目</t>
        </is>
      </c>
      <c r="C4" s="61" t="inlineStr">
        <is>
          <t>手順・条件</t>
        </is>
      </c>
      <c r="D4" s="61" t="inlineStr">
        <is>
          <t>測定点</t>
        </is>
      </c>
      <c r="E4" s="61" t="inlineStr">
        <is>
          <t>設計値・判定基準</t>
        </is>
      </c>
      <c r="F4" s="61" t="inlineStr">
        <is>
          <t>単位</t>
        </is>
      </c>
      <c r="G4" s="61" t="inlineStr">
        <is>
          <t>実測値</t>
        </is>
      </c>
      <c r="H4" s="61" t="inlineStr">
        <is>
          <t>判定</t>
        </is>
      </c>
      <c r="I4" s="61" t="inlineStr">
        <is>
          <t>備考</t>
        </is>
      </c>
    </row>
    <row r="5" ht="31.5" customHeight="1" s="49">
      <c r="A5" s="66" t="inlineStr">
        <is>
          <t>4-1</t>
        </is>
      </c>
      <c r="B5" s="62" t="inlineStr">
        <is>
          <t>MDDS30 入力容量</t>
        </is>
      </c>
      <c r="C5" s="63" t="inlineStr">
        <is>
          <t>電源を切り放電した状態で VB+/VB− 間を 100Hz で測定</t>
        </is>
      </c>
      <c r="D5" s="62" t="inlineStr">
        <is>
          <t>MDDS30</t>
        </is>
      </c>
      <c r="E5" s="63" t="inlineStr">
        <is>
          <t>参考値。v2.1.1 実測 3580〜3628µF</t>
        </is>
      </c>
      <c r="F5" s="66" t="inlineStr">
        <is>
          <t>µF</t>
        </is>
      </c>
      <c r="G5" s="67" t="n"/>
      <c r="H5" s="67" t="n"/>
      <c r="I5" s="68" t="n"/>
    </row>
    <row r="6" ht="75" customHeight="1" s="49">
      <c r="A6" s="66" t="inlineStr">
        <is>
          <t>4-2</t>
        </is>
      </c>
      <c r="B6" s="63" t="inlineStr">
        <is>
          <t>ゲート立ち上がり</t>
        </is>
      </c>
      <c r="C6" s="63" t="inlineStr">
        <is>
          <t>非常停止を解除、Ch1 = TP5（GND:TP18）。10× プローブ、レンジは VBUS＋15V 以上</t>
        </is>
      </c>
      <c r="D6" s="62" t="inlineStr">
        <is>
          <t>TP5 / TP18</t>
        </is>
      </c>
      <c r="E6" s="63" t="inlineStr">
        <is>
          <t>終値 VBUS＋12V（10〜14V）。★ TP5 は R51 の Q3 側なので、ここが真の Q3 ゲート電位。R51 の DC 降下は 24µA × 100Ω = 2.4mV で無視できる</t>
        </is>
      </c>
      <c r="F6" s="66" t="inlineStr">
        <is>
          <t>V</t>
        </is>
      </c>
      <c r="G6" s="67" t="n"/>
      <c r="H6" s="67" t="n"/>
      <c r="I6" s="68" t="n"/>
    </row>
    <row r="7" ht="31.5" customHeight="1" s="49">
      <c r="A7" s="66" t="inlineStr">
        <is>
          <t>4-3</t>
        </is>
      </c>
      <c r="B7" s="62" t="inlineStr">
        <is>
          <t>Vgs 終値（判定）</t>
        </is>
      </c>
      <c r="C7" s="62" t="inlineStr">
        <is>
          <t>4-2 と同時。Ch1 = TP5、Ch2 = TP10 の差</t>
        </is>
      </c>
      <c r="D7" s="62" t="inlineStr">
        <is>
          <t>TP5 − TP10</t>
        </is>
      </c>
      <c r="E7" s="62" t="inlineStr">
        <is>
          <t>10〜14V（typ 12V）。1 号機 11.8V / 2 号機 12.0V</t>
        </is>
      </c>
      <c r="F7" s="66" t="inlineStr">
        <is>
          <t>V</t>
        </is>
      </c>
      <c r="G7" s="67" t="n"/>
      <c r="H7" s="67" t="n"/>
      <c r="I7" s="68" t="n"/>
    </row>
    <row r="8" ht="75" customHeight="1" s="49">
      <c r="A8" s="66" t="inlineStr">
        <is>
          <t>4-4</t>
        </is>
      </c>
      <c r="B8" s="62" t="inlineStr">
        <is>
          <t>Vout 立ち上がり</t>
        </is>
      </c>
      <c r="C8" s="63" t="inlineStr">
        <is>
          <t>同時観測、Ch2 = TP10（GND:TP19）</t>
        </is>
      </c>
      <c r="D8" s="62" t="inlineStr">
        <is>
          <t>TP10 / TP19</t>
        </is>
      </c>
      <c r="E8" s="62" t="inlineStr">
        <is>
          <t>VBUS 29.4V で 42〜87ms（I_gate 17〜31µA、C_gate 44〜50nF）。typ は 57.2ms = 46.7nF × 29.4V ÷ 24µA。★ 旧 typ 53.9ms は C9+C15 の 44nF のみで計算しており、Q3 の Ciss 2.7nF を含んでいなかった</t>
        </is>
      </c>
      <c r="F8" s="66" t="inlineStr">
        <is>
          <t>ms</t>
        </is>
      </c>
      <c r="G8" s="67" t="n"/>
      <c r="H8" s="67" t="n"/>
      <c r="I8" s="68" t="n"/>
    </row>
    <row r="9" ht="46.5" customHeight="1" s="49">
      <c r="A9" s="66" t="inlineStr">
        <is>
          <t>4-5</t>
        </is>
      </c>
      <c r="B9" s="63" t="inlineStr">
        <is>
          <t>突入電流</t>
        </is>
      </c>
      <c r="C9" s="62" t="inlineStr">
        <is>
          <t>4-4 の傾きから算出（推奨）。I = C_total × dV/dt</t>
        </is>
      </c>
      <c r="D9" s="63" t="inlineStr">
        <is>
          <t>入力配線</t>
        </is>
      </c>
      <c r="E9" s="62" t="inlineStr">
        <is>
          <t>1.98A（1.4〜2.6A）、上限 2.4A。C_total = MDDS30 3628µF ＋ C7 47µF ＋ C11 1µF</t>
        </is>
      </c>
      <c r="F9" s="66" t="inlineStr">
        <is>
          <t>A</t>
        </is>
      </c>
      <c r="G9" s="67" t="n"/>
      <c r="H9" s="67" t="n"/>
      <c r="I9" s="68" t="n"/>
    </row>
    <row r="10" ht="104.25" customHeight="1" s="49">
      <c r="A10" s="66" t="inlineStr">
        <is>
          <t>4-6</t>
        </is>
      </c>
      <c r="B10" s="62" t="inlineStr">
        <is>
          <t>TIMER 波形</t>
        </is>
      </c>
      <c r="C10" s="63" t="inlineStr">
        <is>
          <t>起動時の TIMER ピン電圧。時間軸 100ms/div（1 秒窓）で 2 本目のランプまで撮る</t>
        </is>
      </c>
      <c r="D10" s="62" t="inlineStr">
        <is>
          <t>TP6 / TP2</t>
        </is>
      </c>
      <c r="E10" s="63" t="inlineStr">
        <is>
          <t>ピークが 2.0V（ラッチ電圧）に達しないこと。★ ランプの傾きも読むこと：12.5mV/ms 前後なら I_TIMERL 6µA（正常、ラッチまで 160ms）、23mV/ms 前後なら I_TIMERH 11µA に入っており余裕が 87ms に落ちる</t>
        </is>
      </c>
      <c r="F10" s="66" t="inlineStr">
        <is>
          <t>V</t>
        </is>
      </c>
      <c r="G10" s="67" t="n"/>
      <c r="H10" s="67" t="n"/>
      <c r="I10" s="68" t="n"/>
    </row>
    <row r="11" ht="60.75" customHeight="1" s="49">
      <c r="A11" s="66" t="inlineStr">
        <is>
          <t>4-7</t>
        </is>
      </c>
      <c r="B11" s="62" t="inlineStr">
        <is>
          <t>TP5 − TP2 間容量</t>
        </is>
      </c>
      <c r="C11" s="63" t="inlineStr">
        <is>
          <t>電源を切り MDDS30 を放電した状態で DMM の容量レンジまたは LCR で測る</t>
        </is>
      </c>
      <c r="D11" s="62" t="inlineStr">
        <is>
          <t>TP5 − TP2</t>
        </is>
      </c>
      <c r="E11" s="63" t="inlineStr">
        <is>
          <t>約 46.7nF（C9 22nF ＋ C15 22nF ＋ Q3 の Ciss 2.7nF typ）。60〜65nF なら C9 / C15 が設計より大きい</t>
        </is>
      </c>
      <c r="F11" s="66" t="inlineStr">
        <is>
          <t>nF</t>
        </is>
      </c>
      <c r="G11" s="67" t="n"/>
      <c r="H11" s="67" t="n"/>
      <c r="I11" s="68" t="n"/>
    </row>
    <row r="12" ht="46.5" customHeight="1" s="49">
      <c r="A12" s="66" t="inlineStr">
        <is>
          <t>4-8</t>
        </is>
      </c>
      <c r="B12" s="63" t="inlineStr">
        <is>
          <t>起動の単調性</t>
        </is>
      </c>
      <c r="C12" s="62" t="inlineStr">
        <is>
          <t>4-2 / 4-4 の波形を目視</t>
        </is>
      </c>
      <c r="D12" s="62" t="inlineStr">
        <is>
          <t>TP5 / TP10</t>
        </is>
      </c>
      <c r="E12" s="63" t="inlineStr">
        <is>
          <t>階段状・ハンチングが無いこと。出る場合は電源の電流制限不足（3A 以上に設定）</t>
        </is>
      </c>
      <c r="F12" s="66" t="inlineStr">
        <is>
          <t>—</t>
        </is>
      </c>
      <c r="G12" s="67" t="n"/>
      <c r="H12" s="67" t="n"/>
      <c r="I12" s="68" t="n"/>
    </row>
    <row r="14" ht="31.5" customHeight="1" s="49">
      <c r="A14" s="59" t="inlineStr">
        <is>
          <t>★ 電源の電流制限は 3A 以上に設定すること（突入 2A、29.4V × 2A = 59W が瞬間的に必要）。不足すると UVLO リトライで階段状の波形になり測定が無効になります。2026-10-08 午前の測定はこれで無効になりました。</t>
        </is>
      </c>
    </row>
    <row r="15" ht="31.5" customHeight="1" s="49">
      <c r="A15" s="69" t="inlineStr">
        <is>
          <t>※ v3.0.0 では R51 が IC3.GATE と Q3 のゲートの間に入ったため、TP5 の意味が変わりました。TP5 は /Gate_HV_1（Q3 のゲート、R51 の下流）で、C9 / C15 は Net-(IC3-GATE)（R51 の上流）側にあります。つまり TP5 − TP10 が真の Vgs で、v2.1.1 より測定点として適切になっています。</t>
        </is>
      </c>
    </row>
    <row r="16" ht="31.5" customHeight="1" s="49">
      <c r="A16" s="69" t="inlineStr">
        <is>
          <t>※ 4-7 の容量測定は R51 を挟んでいますが、DMM / LCR の測定周波数（概ね 100Hz〜1kHz）では 44nF のインピーダンスが 3.6kΩ 以上あり、R51 100Ω は無視できます。したがって約 46.7nF が読めます（v2.1.1 の CSD18540Q5B 時代は約 48.4nF）。</t>
        </is>
      </c>
    </row>
    <row r="17" ht="31.5" customHeight="1" s="49">
      <c r="A17" s="70" t="inlineStr">
        <is>
          <t>※ ゲート波形は 3 段階になります。(1) 0→約3V で Q3 がオン開始 (2) ミラー期間：Vgs が 3〜4V で平らなまま、GND 基準の TP5 は Vout と一緒に上昇（ここが t_rise） (3) Vout が VBUS に達した後、さらに 12V 分だけ上がって VBUS＋12V で停止。</t>
        </is>
      </c>
    </row>
    <row r="18" ht="17.25" customHeight="1" s="49">
      <c r="A18" s="70" t="inlineStr">
        <is>
          <t>※ 立ち上がり時間はゲート容量とゲート電流だけで決まり、負荷容量には依存しません。負荷容量が効くのは突入電流です。</t>
        </is>
      </c>
    </row>
    <row r="19" ht="31.5" customHeight="1" s="49">
      <c r="A19" s="70" t="inlineStr">
        <is>
          <t>※ 試行の間に MDDS30 の VB+ / VB− を 1kΩ / 3W で 15 秒（100Ω / 5W なら 2 秒）放電し、DMM で 0.5V 以下を確認してから次の測定に移ってください。残留電荷があると立ち上がり時間が短く出ます。★ DMM の電流レンジで放電しないこと（1.45J でヒューズが飛びます）。</t>
        </is>
      </c>
    </row>
    <row r="20" ht="60.75" customHeight="1" s="49">
      <c r="A20" s="71" t="inlineStr">
        <is>
          <t>★ Q1〜Q3 を BSC028N06NS に変更したことで Vgs(th) が 1.9V から 2.8V typ / 3.3V max に上がりました。起動中のミラープラトー電圧はおおよそ Vgs(th) で決まるため、最悪 3.6〜4.0V 程度まで上がります。LM5060 の TIMER 充電電流は VGS &lt; 5V で I_TIMERL 6µA、VGS &gt; 5V で I_TIMERH 11µA に切り替わるので、5V までの余裕が 3V から約 1V に減りました。まだ 6µA 側のはずですが、4-6 でランプの傾きを必ず読んでください。11µA に入っているとラッチまでが 160ms → 87ms に落ち、最悪条件の立ち上がり 82ms に対する余裕が 1.95 倍から 1.06 倍になります。その場合の対処は C9 / C15 の減量です（C16 の増量は短絡時の遮断を遅くするため不可）。</t>
        </is>
      </c>
    </row>
    <row r="21" ht="31.5" customHeight="1" s="49">
      <c r="A21" s="69" t="inlineStr">
        <is>
          <t>※ 2 号機（v2.1.1）の実測では Vout 立ち上がり 102ms で許容上限 87ms を 17% 超過しました。逆算ゲート電流 12.7µA は規格下限 17µA を下回り、原因は (a) C9＋C15 が設計の 44nF より大きい (b) IC3 の個体差 のいずれかです。v3.0.0 基板では 4-7 で先に容量を測っておくと切り分けが速くなります。</t>
        </is>
      </c>
    </row>
    <row r="22" ht="31.5" customHeight="1" s="49">
      <c r="A22" s="69" t="inlineStr">
        <is>
          <t>※ TIMER 容量は 0.48µF 据え置きです（設計仕様書 5_定数と根拠）。0.66µF に増やすと起動余裕は 1.31 → 1.81 倍になりますが、短絡時の遮断が 106 → 145ms に悪化するため不採用としました。短絡の高速検出はファームウェア #13（2ms）と R51 / D12 が担います。</t>
        </is>
      </c>
    </row>
  </sheetData>
  <mergeCells count="10">
    <mergeCell ref="A15:I15"/>
    <mergeCell ref="A19:I19"/>
    <mergeCell ref="A2:I2"/>
    <mergeCell ref="A14:I14"/>
    <mergeCell ref="A17:I17"/>
    <mergeCell ref="A18:I18"/>
    <mergeCell ref="A22:I22"/>
    <mergeCell ref="A20:I20"/>
    <mergeCell ref="A21:I21"/>
    <mergeCell ref="A16:I16"/>
  </mergeCells>
  <dataValidations count="1">
    <dataValidation sqref="H5:H12" showDropDown="0" showInputMessage="0" showErrorMessage="0" allowBlank="1" type="list" errorStyle="stop" operator="between">
      <formula1>"OK,NG,未実施"</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2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48" min="1" max="1"/>
    <col width="20" customWidth="1" style="48" min="2" max="2"/>
    <col width="34" customWidth="1" style="48" min="3" max="3"/>
    <col width="16" customWidth="1" style="48" min="4" max="4"/>
    <col width="26" customWidth="1" style="48" min="5" max="5"/>
    <col width="7" customWidth="1" style="48" min="6" max="6"/>
    <col width="12" customWidth="1" style="48" min="7" max="7"/>
    <col width="9" customWidth="1" style="48" min="8" max="8"/>
    <col width="26" customWidth="1" style="48" min="9" max="9"/>
  </cols>
  <sheetData>
    <row r="1" ht="21" customHeight="1" s="49">
      <c r="A1" s="50" t="inlineStr">
        <is>
          <t>5_保護機能（マイコン）</t>
        </is>
      </c>
    </row>
    <row r="2" ht="31.5" customHeight="1" s="49">
      <c r="A2" s="64" t="inlineStr">
        <is>
          <t>判定は温度そのもので行う。v2.1.1 では EN 電圧で判定していたが、v3.0.0 は遮断点がファームウェアの定数で決まるため温度が直接の判定基準になる。可変電源 24V・電流制限 0.5A、パックは接続しない。</t>
        </is>
      </c>
    </row>
    <row r="4" ht="30" customHeight="1" s="49">
      <c r="A4" s="65" t="inlineStr">
        <is>
          <t>No.</t>
        </is>
      </c>
      <c r="B4" s="61" t="inlineStr">
        <is>
          <t>項目</t>
        </is>
      </c>
      <c r="C4" s="61" t="inlineStr">
        <is>
          <t>手順・条件</t>
        </is>
      </c>
      <c r="D4" s="61" t="inlineStr">
        <is>
          <t>測定点</t>
        </is>
      </c>
      <c r="E4" s="61" t="inlineStr">
        <is>
          <t>設計値・判定基準</t>
        </is>
      </c>
      <c r="F4" s="61" t="inlineStr">
        <is>
          <t>単位</t>
        </is>
      </c>
      <c r="G4" s="61" t="inlineStr">
        <is>
          <t>実測値</t>
        </is>
      </c>
      <c r="H4" s="61" t="inlineStr">
        <is>
          <t>判定</t>
        </is>
      </c>
      <c r="I4" s="61" t="inlineStr">
        <is>
          <t>備考</t>
        </is>
      </c>
    </row>
    <row r="5" ht="46.5" customHeight="1" s="49">
      <c r="A5" s="66" t="inlineStr">
        <is>
          <t>5-1</t>
        </is>
      </c>
      <c r="B5" s="62" t="inlineStr">
        <is>
          <t>T_trip 遮断（TH1）</t>
        </is>
      </c>
      <c r="C5" s="63" t="inlineStr">
        <is>
          <t>ヒートガンで TH1 を加熱。VBUS 24V、電流制限 0.5A</t>
        </is>
      </c>
      <c r="D5" s="62" t="inlineStr">
        <is>
          <t>TP28 / TP25 / TP10</t>
        </is>
      </c>
      <c r="E5" s="62" t="inlineStr">
        <is>
          <t>TP28 が H になり Vout が落ちること。ファームウェア #3（T_trip 3 回連続）</t>
        </is>
      </c>
      <c r="F5" s="66" t="inlineStr">
        <is>
          <t>—</t>
        </is>
      </c>
      <c r="G5" s="67" t="n"/>
      <c r="H5" s="67" t="n"/>
      <c r="I5" s="68" t="n"/>
    </row>
    <row r="6" ht="60.75" customHeight="1" s="49">
      <c r="A6" s="66" t="inlineStr">
        <is>
          <t>5-2</t>
        </is>
      </c>
      <c r="B6" s="63" t="inlineStr">
        <is>
          <t>遮断時の TH1 温度</t>
        </is>
      </c>
      <c r="C6" s="62" t="inlineStr">
        <is>
          <t>5-1 の遮断直後に加熱をやめ、TH1 の抵抗を測って温度換算する</t>
        </is>
      </c>
      <c r="D6" s="62" t="inlineStr">
        <is>
          <t>TH1 の両端</t>
        </is>
      </c>
      <c r="E6" s="63" t="inlineStr">
        <is>
          <t>暫定 T_trip = 95℃（NTC 809Ω）。±3℃ 以内。★ 判定は温度で行う（v2.1.1 は EN 電圧だった）</t>
        </is>
      </c>
      <c r="F6" s="66" t="inlineStr">
        <is>
          <t>℃</t>
        </is>
      </c>
      <c r="G6" s="67" t="n"/>
      <c r="H6" s="67" t="n"/>
      <c r="I6" s="68" t="n"/>
    </row>
    <row r="7" ht="31.5" customHeight="1" s="49">
      <c r="A7" s="66" t="inlineStr">
        <is>
          <t>5-3</t>
        </is>
      </c>
      <c r="B7" s="62" t="inlineStr">
        <is>
          <t>10 秒ラッチ</t>
        </is>
      </c>
      <c r="C7" s="62" t="inlineStr">
        <is>
          <t>5-1 の後、すぐに冷却しても復帰しないことを確認</t>
        </is>
      </c>
      <c r="D7" s="62" t="inlineStr">
        <is>
          <t>TP10</t>
        </is>
      </c>
      <c r="E7" s="62" t="inlineStr">
        <is>
          <t>10 秒間は Vout が戻らないこと</t>
        </is>
      </c>
      <c r="F7" s="73" t="inlineStr">
        <is>
          <t>秒</t>
        </is>
      </c>
      <c r="G7" s="67" t="n"/>
      <c r="H7" s="67" t="n"/>
      <c r="I7" s="68" t="n"/>
    </row>
    <row r="8" ht="31.5" customHeight="1" s="49">
      <c r="A8" s="66" t="inlineStr">
        <is>
          <t>5-4</t>
        </is>
      </c>
      <c r="B8" s="63" t="inlineStr">
        <is>
          <t>自動復帰</t>
        </is>
      </c>
      <c r="C8" s="62" t="inlineStr">
        <is>
          <t>T_trip − 15℃（暫定 80℃）まで冷却する</t>
        </is>
      </c>
      <c r="D8" s="62" t="inlineStr">
        <is>
          <t>TP10 / TH1</t>
        </is>
      </c>
      <c r="E8" s="62" t="inlineStr">
        <is>
          <t>Vout が戻ること。復帰時の TH1 温度を記録</t>
        </is>
      </c>
      <c r="F8" s="66" t="inlineStr">
        <is>
          <t>℃</t>
        </is>
      </c>
      <c r="G8" s="67" t="n"/>
      <c r="H8" s="67" t="n"/>
      <c r="I8" s="68" t="n"/>
    </row>
    <row r="9" ht="46.5" customHeight="1" s="49">
      <c r="A9" s="66" t="inlineStr">
        <is>
          <t>5-5</t>
        </is>
      </c>
      <c r="B9" s="62" t="inlineStr">
        <is>
          <t>T_hard 即時遮断</t>
        </is>
      </c>
      <c r="C9" s="62" t="inlineStr">
        <is>
          <t>TH1 を急速に加熱して T_hard を超えさせる</t>
        </is>
      </c>
      <c r="D9" s="62" t="inlineStr">
        <is>
          <t>TP28 / TP10</t>
        </is>
      </c>
      <c r="E9" s="63" t="inlineStr">
        <is>
          <t>判定遅延なしで遮断されること。ファームウェア #4。暫定 T_hard = 115℃</t>
        </is>
      </c>
      <c r="F9" s="66" t="inlineStr">
        <is>
          <t>℃</t>
        </is>
      </c>
      <c r="G9" s="67" t="n"/>
      <c r="H9" s="67" t="n"/>
      <c r="I9" s="68" t="n"/>
    </row>
    <row r="10" ht="60.75" customHeight="1" s="49">
      <c r="A10" s="66" t="inlineStr">
        <is>
          <t>5-6</t>
        </is>
      </c>
      <c r="B10" s="62" t="inlineStr">
        <is>
          <t>TH2 遮断</t>
        </is>
      </c>
      <c r="C10" s="62" t="inlineStr">
        <is>
          <t>R11 近傍（TH2）をヒートガンで加熱。R11 自体は加熱しない</t>
        </is>
      </c>
      <c r="D10" s="62" t="inlineStr">
        <is>
          <t>TP28 / TP10 / TH2</t>
        </is>
      </c>
      <c r="E10" s="62" t="inlineStr">
        <is>
          <t>110℃ で遮断（暫定）。ファームウェア #5。★ TH2 は NCP21X で動作上限 125℃、超えないよう監視</t>
        </is>
      </c>
      <c r="F10" s="66" t="inlineStr">
        <is>
          <t>℃</t>
        </is>
      </c>
      <c r="G10" s="67" t="n"/>
      <c r="H10" s="67" t="n"/>
      <c r="I10" s="68" t="n"/>
    </row>
    <row r="11" ht="46.5" customHeight="1" s="49">
      <c r="A11" s="66" t="inlineStr">
        <is>
          <t>5-7</t>
        </is>
      </c>
      <c r="B11" s="63" t="inlineStr">
        <is>
          <t>センサ断線検出</t>
        </is>
      </c>
      <c r="C11" s="62" t="inlineStr">
        <is>
          <t>TH1 のパッドの片側を一時的に浮かせる（または TH1 を外す）</t>
        </is>
      </c>
      <c r="D11" s="62" t="inlineStr">
        <is>
          <t>TP28 / TP10</t>
        </is>
      </c>
      <c r="E11" s="62" t="inlineStr">
        <is>
          <t>ADC が 3.3V 側に振れ、5 回連続でラッチ遮断。ファームウェア #7</t>
        </is>
      </c>
      <c r="F11" s="66" t="inlineStr">
        <is>
          <t>—</t>
        </is>
      </c>
      <c r="G11" s="67" t="n"/>
      <c r="H11" s="67" t="n"/>
      <c r="I11" s="68" t="n"/>
    </row>
    <row r="12" ht="46.5" customHeight="1" s="49">
      <c r="A12" s="66" t="inlineStr">
        <is>
          <t>5-8</t>
        </is>
      </c>
      <c r="B12" s="63" t="inlineStr">
        <is>
          <t>センサ短絡検出</t>
        </is>
      </c>
      <c r="C12" s="62" t="inlineStr">
        <is>
          <t>TH1 の両端を短絡する</t>
        </is>
      </c>
      <c r="D12" s="62" t="inlineStr">
        <is>
          <t>TP28 / TP10</t>
        </is>
      </c>
      <c r="E12" s="62" t="inlineStr">
        <is>
          <t>ADC が 0V 側に振れ、5 回連続でラッチ遮断。ファームウェア #7</t>
        </is>
      </c>
      <c r="F12" s="66" t="inlineStr">
        <is>
          <t>—</t>
        </is>
      </c>
      <c r="G12" s="67" t="n"/>
      <c r="H12" s="67" t="n"/>
      <c r="I12" s="68" t="n"/>
    </row>
    <row r="13" ht="31.5" customHeight="1" s="49">
      <c r="A13" s="66" t="inlineStr">
        <is>
          <t>5-9</t>
        </is>
      </c>
      <c r="B13" s="63" t="inlineStr">
        <is>
          <t>ラッチの解除</t>
        </is>
      </c>
      <c r="C13" s="62" t="inlineStr">
        <is>
          <t>5-7 / 5-8 の後、センサを戻して非常停止を押し→解除する</t>
        </is>
      </c>
      <c r="D13" s="62" t="inlineStr">
        <is>
          <t>TP10</t>
        </is>
      </c>
      <c r="E13" s="62" t="inlineStr">
        <is>
          <t>J4 の再投入でラッチが解除され Vout が戻ること</t>
        </is>
      </c>
      <c r="F13" s="66" t="inlineStr">
        <is>
          <t>—</t>
        </is>
      </c>
      <c r="G13" s="67" t="n"/>
      <c r="H13" s="67" t="n"/>
      <c r="I13" s="68" t="n"/>
    </row>
    <row r="14" ht="46.5" customHeight="1" s="49">
      <c r="A14" s="66" t="inlineStr">
        <is>
          <t>5-10</t>
        </is>
      </c>
      <c r="B14" s="63" t="inlineStr">
        <is>
          <t>起動失敗の検出（#8）</t>
        </is>
      </c>
      <c r="C14" s="62" t="inlineStr">
        <is>
          <t>PA5 = L の状態で Q3 のゲート駆動を阻害する（IC3.GATE を一時的に GND へ 10kΩ で引く等）</t>
        </is>
      </c>
      <c r="D14" s="62" t="inlineStr">
        <is>
          <t>TP28 / TP10</t>
        </is>
      </c>
      <c r="E14" s="62" t="inlineStr">
        <is>
          <t>100ms 後に Vout &lt; 0.8 × VBUS を検出してラッチ。ファームウェア #8</t>
        </is>
      </c>
      <c r="F14" s="66" t="inlineStr">
        <is>
          <t>ms</t>
        </is>
      </c>
      <c r="G14" s="67" t="n"/>
      <c r="H14" s="67" t="n"/>
      <c r="I14" s="68" t="n"/>
    </row>
    <row r="15" ht="46.5" customHeight="1" s="49">
      <c r="A15" s="66" t="inlineStr">
        <is>
          <t>5-11</t>
        </is>
      </c>
      <c r="B15" s="63" t="inlineStr">
        <is>
          <t>出力短絡の高速検出（#13）</t>
        </is>
      </c>
      <c r="C15" s="62" t="inlineStr">
        <is>
          <t>★ MDDS30 とパックを外し、電流制限 0.5A の可変電源で VBUS 24V。Vout − GND を 10Ω / 5W 程度の抵抗で短絡する</t>
        </is>
      </c>
      <c r="D15" s="62" t="inlineStr">
        <is>
          <t>TP28 / TP10</t>
        </is>
      </c>
      <c r="E15" s="62" t="inlineStr">
        <is>
          <t>2ms（1kHz × 2 回）で遮断しラッチすること。ファームウェア #13。★ 直接短絡はしない</t>
        </is>
      </c>
      <c r="F15" s="66" t="inlineStr">
        <is>
          <t>ms</t>
        </is>
      </c>
      <c r="G15" s="67" t="n"/>
      <c r="H15" s="67" t="n"/>
      <c r="I15" s="68" t="n"/>
    </row>
    <row r="16" ht="60.75" customHeight="1" s="49">
      <c r="A16" s="66" t="inlineStr">
        <is>
          <t>5-12</t>
        </is>
      </c>
      <c r="B16" s="62" t="inlineStr">
        <is>
          <t>#13 の armed 条件</t>
        </is>
      </c>
      <c r="C16" s="63" t="inlineStr">
        <is>
          <t>起動直後（Vout が 0.9 × VBUS に達する前）に 5-11 を行う</t>
        </is>
      </c>
      <c r="D16" s="62" t="inlineStr">
        <is>
          <t>TP10</t>
        </is>
      </c>
      <c r="E16" s="63" t="inlineStr">
        <is>
          <t>立ち上がり中は誤発火しないこと。Vout ≥ 0.9 × VBUS を一度満たすまで armed にしない仕様</t>
        </is>
      </c>
      <c r="F16" s="66" t="inlineStr">
        <is>
          <t>—</t>
        </is>
      </c>
      <c r="G16" s="67" t="n"/>
      <c r="H16" s="67" t="n"/>
      <c r="I16" s="68" t="n"/>
    </row>
    <row r="17" ht="46.5" customHeight="1" s="49">
      <c r="A17" s="66" t="inlineStr">
        <is>
          <t>5-13</t>
        </is>
      </c>
      <c r="B17" s="63" t="inlineStr">
        <is>
          <t>低電圧警告（#9）</t>
        </is>
      </c>
      <c r="C17" s="62" t="inlineStr">
        <is>
          <t>VBUS を 21.0V 以下に下げる</t>
        </is>
      </c>
      <c r="D17" s="62" t="inlineStr">
        <is>
          <t>LED3</t>
        </is>
      </c>
      <c r="E17" s="62" t="inlineStr">
        <is>
          <t>LED3 が低速点滅すること。遮断はしない（IC3 の UVLO 19.5V に任せる）</t>
        </is>
      </c>
      <c r="F17" s="66" t="inlineStr">
        <is>
          <t>V</t>
        </is>
      </c>
      <c r="G17" s="67" t="n"/>
      <c r="H17" s="67" t="n"/>
      <c r="I17" s="68" t="n"/>
    </row>
    <row r="18" ht="60.75" customHeight="1" s="49">
      <c r="A18" s="66" t="inlineStr">
        <is>
          <t>5-14</t>
        </is>
      </c>
      <c r="B18" s="62" t="inlineStr">
        <is>
          <t>IWDG の動作（#10）</t>
        </is>
      </c>
      <c r="C18" s="63" t="inlineStr">
        <is>
          <t>デバッグコマンドで意図的に無限ループに入れる</t>
        </is>
      </c>
      <c r="D18" s="62" t="inlineStr">
        <is>
          <t>TP10 / SWD</t>
        </is>
      </c>
      <c r="E18" s="62" t="inlineStr">
        <is>
          <t>500ms でリセットがかかること。★ C20 のライドスルーにより Vout は切れない（これが #11 を必要とする理由）</t>
        </is>
      </c>
      <c r="F18" s="66" t="inlineStr">
        <is>
          <t>ms</t>
        </is>
      </c>
      <c r="G18" s="67" t="n"/>
      <c r="H18" s="67" t="n"/>
      <c r="I18" s="68" t="n"/>
    </row>
    <row r="19" ht="46.5" customHeight="1" s="49">
      <c r="A19" s="66" t="inlineStr">
        <is>
          <t>5-15</t>
        </is>
      </c>
      <c r="B19" s="62" t="inlineStr">
        <is>
          <t>IWDG 3 回ラッチ（#11）</t>
        </is>
      </c>
      <c r="C19" s="62" t="inlineStr">
        <is>
          <t>5-14 のループを維持し、リセットを 3 回繰り返させる</t>
        </is>
      </c>
      <c r="D19" s="62" t="inlineStr">
        <is>
          <t>TP28 / TP10</t>
        </is>
      </c>
      <c r="E19" s="62" t="inlineStr">
        <is>
          <t>3 回目で完全ラッチし Vout が落ちること。RCC のリセットフラグを数える実装</t>
        </is>
      </c>
      <c r="F19" s="73" t="inlineStr">
        <is>
          <t>回</t>
        </is>
      </c>
      <c r="G19" s="67" t="n"/>
      <c r="H19" s="67" t="n"/>
      <c r="I19" s="68" t="n"/>
    </row>
    <row r="20" ht="46.5" customHeight="1" s="49">
      <c r="A20" s="66" t="inlineStr">
        <is>
          <t>5-16</t>
        </is>
      </c>
      <c r="B20" s="63" t="inlineStr">
        <is>
          <t>チョッパ ON 積算（#6）</t>
        </is>
      </c>
      <c r="C20" s="62" t="inlineStr">
        <is>
          <t>8_ブレーキチョッパ の 8-7 の状態を維持し、積算が閾値を超えるまで待つ</t>
        </is>
      </c>
      <c r="D20" s="62" t="inlineStr">
        <is>
          <t>TP28 / TP10 / R11</t>
        </is>
      </c>
      <c r="E20" s="63" t="inlineStr">
        <is>
          <t>閾値超過で遮断すること。★ R11 のフランジ温度が 120℃ を超えたら即中止</t>
        </is>
      </c>
      <c r="F20" s="73" t="inlineStr">
        <is>
          <t>秒</t>
        </is>
      </c>
      <c r="G20" s="67" t="n"/>
      <c r="H20" s="67" t="n"/>
      <c r="I20" s="68" t="n"/>
    </row>
    <row r="22" ht="31.5" customHeight="1" s="49">
      <c r="A22" s="71" t="inlineStr">
        <is>
          <t>★ JP1 が開放であることを確認してから本フェーズに入ってください。ブリッジされていると EN_GATE が GND に固定され、5-1〜5-16 のすべてが「遮断しない」結果になります（0-2 / 2-6）。</t>
        </is>
      </c>
    </row>
    <row r="23" ht="31.5" customHeight="1" s="49">
      <c r="A23" s="71" t="inlineStr">
        <is>
          <t>★ 5-11 は意図的な短絡試験です。MDDS30 とパックを必ず外し、電流制限 0.5A の可変電源で、10Ω 程度の抵抗を介して短絡してください。直接短絡（0Ω）は基板側 48µF（C7 + C11）の放電で Q3 に数百 A が流れ、R51 / D12 があっても想定外です。</t>
        </is>
      </c>
    </row>
    <row r="24" ht="31.5" customHeight="1" s="49">
      <c r="A24" s="69" t="inlineStr">
        <is>
          <t>※ v2.1.1 との最大の違いは判定基準です。v2.1.1 は「EN 電圧で判定し、温度は参考値」でした（LM5060 の EN しきい値が個体ごとに 0.80〜2.00V ばらつくため）。v3.0.0 は遮断点がファームウェアの定数で決まるので、温度そのものが判定基準になります。精度は NTC の J ランク ±5% と抵抗の 1% だけで決まり、±2〜3℃ です。</t>
        </is>
      </c>
    </row>
    <row r="25" ht="31.5" customHeight="1" s="49">
      <c r="A25" s="69" t="inlineStr">
        <is>
          <t>※ 5-2 / 5-4 / 5-5 / 5-6 の温度は、NTC の抵抗値から換算してください。サーマルカメラは放射率と熱勾配で大きく外れます（v2.1.1 では真値 82℃ に対し 120℃ と表示されました）。換算式：T = 1 / (1/298.15 + ln(R/10000)/3944) − 273.15。</t>
        </is>
      </c>
    </row>
    <row r="26" ht="31.5" customHeight="1" s="49">
      <c r="A26" s="69" t="inlineStr">
        <is>
          <t>※ 5-6 の TH2 は R11 から 5mm 程度離して配置しています（0-24）。R11 自体は 150℃ 以上になり得ますが、TH2 の位置では 110℃ で遮断がかかる設計です。TH2 の遮断点 110℃ は暫定値で、7-9〜7-11 の実測で確定します。</t>
        </is>
      </c>
    </row>
    <row r="27" ht="17.25" customHeight="1" s="49">
      <c r="A27" s="69" t="inlineStr">
        <is>
          <t>※ 5-14 / 5-15 はデバッグビルドでは #11 を無効にしている可能性があります。本試験ではリリースビルドで実施してください。</t>
        </is>
      </c>
    </row>
    <row r="28" ht="17.25" customHeight="1" s="49">
      <c r="A28" s="69" t="inlineStr">
        <is>
          <t>※ 5-16 の閾値（直近 10 秒のチョッパ ON 積算）は未確定です。9-6 / 9-7 の回生プロファイル実測で決めます。本項目はその後に実施してください。</t>
        </is>
      </c>
    </row>
    <row r="29" ht="17.25" customHeight="1" s="49">
      <c r="A29" s="70" t="inlineStr">
        <is>
          <t>※ 故障モード表（設計仕様書 8_故障モード）のうち、Q6 のオープン故障は単一故障で検出も代替もできません。v2.4 で独立バックストップを検討する項目として残っています。</t>
        </is>
      </c>
    </row>
  </sheetData>
  <mergeCells count="9">
    <mergeCell ref="A29:I29"/>
    <mergeCell ref="A25:I25"/>
    <mergeCell ref="A2:I2"/>
    <mergeCell ref="A28:I28"/>
    <mergeCell ref="A23:I23"/>
    <mergeCell ref="A27:I27"/>
    <mergeCell ref="A22:I22"/>
    <mergeCell ref="A26:I26"/>
    <mergeCell ref="A24:I24"/>
  </mergeCells>
  <dataValidations count="1">
    <dataValidation sqref="H5:H20" showDropDown="0" showInputMessage="0" showErrorMessage="0" allowBlank="1" type="list" errorStyle="stop" operator="between">
      <formula1>"OK,NG,未実施"</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I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48" min="1" max="1"/>
    <col width="20" customWidth="1" style="48" min="2" max="2"/>
    <col width="34" customWidth="1" style="48" min="3" max="3"/>
    <col width="16" customWidth="1" style="48" min="4" max="4"/>
    <col width="26" customWidth="1" style="48" min="5" max="5"/>
    <col width="7" customWidth="1" style="48" min="6" max="6"/>
    <col width="12" customWidth="1" style="48" min="7" max="7"/>
    <col width="9" customWidth="1" style="48" min="8" max="8"/>
    <col width="26" customWidth="1" style="48" min="9" max="9"/>
  </cols>
  <sheetData>
    <row r="1" ht="21" customHeight="1" s="49">
      <c r="A1" s="50" t="inlineStr">
        <is>
          <t>6_Q3 ゲート保護（R51 / D12）</t>
        </is>
      </c>
    </row>
    <row r="2" ht="27.75" customHeight="1" s="49">
      <c r="A2" s="72" t="inlineStr">
        <is>
          <t>2026-10-08 の Q3 破壊を受けて v3.0.0 で追加した R51（100Ω 直列）と D12（SMAJ15A ゲート−ソースクランプ）の検証。</t>
        </is>
      </c>
    </row>
    <row r="4" ht="30" customHeight="1" s="49">
      <c r="A4" s="65" t="inlineStr">
        <is>
          <t>No.</t>
        </is>
      </c>
      <c r="B4" s="61" t="inlineStr">
        <is>
          <t>項目</t>
        </is>
      </c>
      <c r="C4" s="61" t="inlineStr">
        <is>
          <t>手順・条件</t>
        </is>
      </c>
      <c r="D4" s="61" t="inlineStr">
        <is>
          <t>測定点</t>
        </is>
      </c>
      <c r="E4" s="61" t="inlineStr">
        <is>
          <t>設計値・判定基準</t>
        </is>
      </c>
      <c r="F4" s="61" t="inlineStr">
        <is>
          <t>単位</t>
        </is>
      </c>
      <c r="G4" s="61" t="inlineStr">
        <is>
          <t>実測値</t>
        </is>
      </c>
      <c r="H4" s="61" t="inlineStr">
        <is>
          <t>判定</t>
        </is>
      </c>
      <c r="I4" s="61" t="inlineStr">
        <is>
          <t>備考</t>
        </is>
      </c>
    </row>
    <row r="5" ht="46.5" customHeight="1" s="49">
      <c r="A5" s="66" t="inlineStr">
        <is>
          <t>6-1</t>
        </is>
      </c>
      <c r="B5" s="62" t="inlineStr">
        <is>
          <t>R51 の実装・値</t>
        </is>
      </c>
      <c r="C5" s="62" t="inlineStr">
        <is>
          <t>DMM の抵抗レンジ（無通電）</t>
        </is>
      </c>
      <c r="D5" s="62" t="inlineStr">
        <is>
          <t>TP5 − IC3.10</t>
        </is>
      </c>
      <c r="E5" s="62" t="inlineStr">
        <is>
          <t>100Ω ±5%。0-10 と同じ項目。本フェーズの前提条件として再確認する</t>
        </is>
      </c>
      <c r="F5" s="66" t="inlineStr">
        <is>
          <t>Ω</t>
        </is>
      </c>
      <c r="G5" s="67" t="n"/>
      <c r="H5" s="67" t="n"/>
      <c r="I5" s="68" t="n"/>
    </row>
    <row r="6" ht="31.5" customHeight="1" s="49">
      <c r="A6" s="66" t="inlineStr">
        <is>
          <t>6-2</t>
        </is>
      </c>
      <c r="B6" s="62" t="inlineStr">
        <is>
          <t>D12 の向きと健全性</t>
        </is>
      </c>
      <c r="C6" s="62" t="inlineStr">
        <is>
          <t>DMM のダイオードレンジ（無通電）</t>
        </is>
      </c>
      <c r="D6" s="62" t="inlineStr">
        <is>
          <t>TP5 − TP10</t>
        </is>
      </c>
      <c r="E6" s="62" t="inlineStr">
        <is>
          <t>TP5 ＋ で OL、逆向きで 0.6〜0.9V。0-11 と同じ項目</t>
        </is>
      </c>
      <c r="F6" s="66" t="inlineStr">
        <is>
          <t>V</t>
        </is>
      </c>
      <c r="G6" s="67" t="n"/>
      <c r="H6" s="67" t="n"/>
      <c r="I6" s="68" t="n"/>
    </row>
    <row r="7" ht="46.5" customHeight="1" s="49">
      <c r="A7" s="66" t="inlineStr">
        <is>
          <t>6-3</t>
        </is>
      </c>
      <c r="B7" s="63" t="inlineStr">
        <is>
          <t>通常動作時の非導通</t>
        </is>
      </c>
      <c r="C7" s="62" t="inlineStr">
        <is>
          <t>VBUS 29.4V で運転中。4-3 の Vgs を確認</t>
        </is>
      </c>
      <c r="D7" s="62" t="inlineStr">
        <is>
          <t>TP5 − TP10</t>
        </is>
      </c>
      <c r="E7" s="62" t="inlineStr">
        <is>
          <t>Vgs 11.8〜12.0V &lt; SMAJ15A の Vbr min 16.7V。D12 が通常動作では導通しないこと</t>
        </is>
      </c>
      <c r="F7" s="66" t="inlineStr">
        <is>
          <t>V</t>
        </is>
      </c>
      <c r="G7" s="67" t="n"/>
      <c r="H7" s="67" t="n"/>
      <c r="I7" s="68" t="n"/>
    </row>
    <row r="8" ht="46.5" customHeight="1" s="49">
      <c r="A8" s="66" t="inlineStr">
        <is>
          <t>6-4</t>
        </is>
      </c>
      <c r="B8" s="63" t="inlineStr">
        <is>
          <t>ゲート電流への影響</t>
        </is>
      </c>
      <c r="C8" s="62" t="inlineStr">
        <is>
          <t>4-4 の立ち上がり時間を R51 挿入前（v2.1.1 の 2 号機データ）と比較</t>
        </is>
      </c>
      <c r="D8" s="62" t="inlineStr">
        <is>
          <t>TP10</t>
        </is>
      </c>
      <c r="E8" s="63" t="inlineStr">
        <is>
          <t>有意差がないこと。τ = 100Ω × Ciss 2.7nF = 0.27µs は 74ms に対し無視できる</t>
        </is>
      </c>
      <c r="F8" s="66" t="inlineStr">
        <is>
          <t>ms</t>
        </is>
      </c>
      <c r="G8" s="67" t="n"/>
      <c r="H8" s="67" t="n"/>
      <c r="I8" s="68" t="n"/>
    </row>
    <row r="9" ht="60.75" customHeight="1" s="49">
      <c r="A9" s="66" t="inlineStr">
        <is>
          <t>6-5</t>
        </is>
      </c>
      <c r="B9" s="63" t="inlineStr">
        <is>
          <t>短絡時の Vgs クランプ（任意）</t>
        </is>
      </c>
      <c r="C9" s="62" t="inlineStr">
        <is>
          <t>★ MDDS30 とパックを外し、電流制限 0.5A で VBUS 29.4V。Ch1 = TP5、Ch2 = TP10、時間軸 1µs/div でトリガをかけ、Vout − GND を 1Ω 程度で短絡する</t>
        </is>
      </c>
      <c r="D9" s="62" t="inlineStr">
        <is>
          <t>TP5 − TP10</t>
        </is>
      </c>
      <c r="E9" s="62" t="inlineStr">
        <is>
          <t>Vgs が ±20V（Q3 の定格）を超えないこと。D12 のクランプ 17V 付近で止まるのが設計どおり</t>
        </is>
      </c>
      <c r="F9" s="66" t="inlineStr">
        <is>
          <t>V</t>
        </is>
      </c>
      <c r="G9" s="67" t="n"/>
      <c r="H9" s="67" t="n"/>
      <c r="I9" s="68" t="n"/>
    </row>
    <row r="10" ht="60.75" customHeight="1" s="49">
      <c r="A10" s="66" t="inlineStr">
        <is>
          <t>6-6</t>
        </is>
      </c>
      <c r="B10" s="63" t="inlineStr">
        <is>
          <t>短絡後の健全性</t>
        </is>
      </c>
      <c r="C10" s="62" t="inlineStr">
        <is>
          <t>6-5 の後、Q3 の健全性を確認</t>
        </is>
      </c>
      <c r="D10" s="62" t="inlineStr">
        <is>
          <t>TP5 / TP10 / TP4</t>
        </is>
      </c>
      <c r="E10" s="62" t="inlineStr">
        <is>
          <t>TP5 − TP10 が非導通、TP10 − TP4 が Q3 のボディダイオード方向のみ導通。遮断時に Vout が 0V になること</t>
        </is>
      </c>
      <c r="F10" s="66" t="inlineStr">
        <is>
          <t>—</t>
        </is>
      </c>
      <c r="G10" s="67" t="n"/>
      <c r="H10" s="67" t="n"/>
      <c r="I10" s="68" t="n"/>
    </row>
    <row r="12" ht="31.5" customHeight="1" s="49">
      <c r="A12" s="71" t="inlineStr">
        <is>
          <t>★ 6-5 は任意項目です。実施する場合は MDDS30 とパックを必ず外してください。基板側だけなら C7 47µF ＋ C11 1µF ＝ 48µF で蓄積エネルギーは 20.7mJ（29.4V）ですが、MDDS30 を繋ぐと 3628µF で 1.45J となり 70 倍になります。2026-10-08 に 1 号機の Q3 を破壊したのは後者です。</t>
        </is>
      </c>
    </row>
    <row r="13" ht="46.5" customHeight="1" s="49">
      <c r="A13" s="69" t="inlineStr">
        <is>
          <t>※ R51 / D12 の役割：出力短絡で Vout が急落すると、C9 ∥ C15（44nF、GATE−GND 間）がゲートを 41V 付近に保持し、Vgs が Q3 の定格 ±20V を超えます。R51 100Ω がその 44nF をゲートから切り離し、D12（SMAJ15A）が Q3 の Ciss 2.7nF（max 3.4nF）分だけをクランプする構成です。クランプが流すべき電流は 4.5A（R51 なし）から 0.58A（R51 あり、300ns 崩壊・Ciss max の最悪ケース）へ 7.8 分の 1 に下がります。</t>
        </is>
      </c>
    </row>
    <row r="14" ht="31.5" customHeight="1" s="49">
      <c r="A14" s="70" t="inlineStr">
        <is>
          <t>※ 主因は IC3 内部クランプの電流能力です。LM5060 のデータシートは GATE−OUT 16.8V を I = 0.1mA でしか規定しておらず、0.35A 級のシンクは想定されていません。当初ループインダクタンスを主因と説明しましたが、数値を詰めると二次要因でした（40nH で 0.35A を立ち上げるのに 7ns、崩壊時間 4µs に対し 3 桁小さい）。</t>
        </is>
      </c>
    </row>
    <row r="15" ht="17.25" customHeight="1" s="49">
      <c r="A15" s="69" t="inlineStr">
        <is>
          <t>※ D12 は Q3 の足元に配置する指示です。遠くに置くと D12 自身が「Rz 1Ω だが L 40nH 越し」のクランプになり、速い崩壊（300ns 級）で同じ問題が再発します。</t>
        </is>
      </c>
    </row>
    <row r="16" ht="31.5" customHeight="1" s="49">
      <c r="A16" s="70" t="inlineStr">
        <is>
          <t>※ ファームウェア #13（2ms で遮断）は「電流制限された電源での持続的な短絡」「配線の半短絡」を対象とします。コンデンサ放電による µs オーダーの事象には間に合わないため、そちらは R51 / D12 のハードウェアで受けます。両者は役割分担であって冗長ではありません。</t>
        </is>
      </c>
    </row>
  </sheetData>
  <mergeCells count="6">
    <mergeCell ref="A15:I15"/>
    <mergeCell ref="A2:I2"/>
    <mergeCell ref="A13:I13"/>
    <mergeCell ref="A14:I14"/>
    <mergeCell ref="A12:I12"/>
    <mergeCell ref="A16:I16"/>
  </mergeCells>
  <dataValidations count="1">
    <dataValidation sqref="H5:H10" showDropDown="0" showInputMessage="0" showErrorMessage="0" allowBlank="1" type="list" errorStyle="stop" operator="between">
      <formula1>"OK,NG,未実施"</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I5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48" min="1" max="1"/>
    <col width="20" customWidth="1" style="48" min="2" max="2"/>
    <col width="34" customWidth="1" style="48" min="3" max="3"/>
    <col width="16" customWidth="1" style="48" min="4" max="4"/>
    <col width="26" customWidth="1" style="48" min="5" max="5"/>
    <col width="7" customWidth="1" style="48" min="6" max="6"/>
    <col width="12" customWidth="1" style="48" min="7" max="7"/>
    <col width="9" customWidth="1" style="48" min="8" max="8"/>
    <col width="26" customWidth="1" style="48" min="9" max="9"/>
  </cols>
  <sheetData>
    <row r="1" ht="21" customHeight="1" s="49">
      <c r="A1" s="50" t="inlineStr">
        <is>
          <t>7_熱特性</t>
        </is>
      </c>
    </row>
    <row r="2" ht="31.5" customHeight="1" s="49">
      <c r="A2" s="64" t="inlineStr">
        <is>
          <t>熱電対は Q1 と Q3 のパッケージ表面に貼る。TH1 / TH2 は部品本体ではなく NTC の抵抗値から温度を換算する（サーマルカメラは放射率で大きく外れる）。R11 はサーマルカメラで測る。</t>
        </is>
      </c>
    </row>
    <row r="3"/>
    <row r="4" ht="30" customHeight="1" s="49">
      <c r="A4" s="65" t="inlineStr">
        <is>
          <t>No.</t>
        </is>
      </c>
      <c r="B4" s="61" t="inlineStr">
        <is>
          <t>項目</t>
        </is>
      </c>
      <c r="C4" s="61" t="inlineStr">
        <is>
          <t>手順・条件</t>
        </is>
      </c>
      <c r="D4" s="61" t="inlineStr">
        <is>
          <t>測定点</t>
        </is>
      </c>
      <c r="E4" s="61" t="inlineStr">
        <is>
          <t>設計値・判定基準</t>
        </is>
      </c>
      <c r="F4" s="61" t="inlineStr">
        <is>
          <t>単位</t>
        </is>
      </c>
      <c r="G4" s="61" t="inlineStr">
        <is>
          <t>実測値</t>
        </is>
      </c>
      <c r="H4" s="61" t="inlineStr">
        <is>
          <t>判定</t>
        </is>
      </c>
      <c r="I4" s="61" t="inlineStr">
        <is>
          <t>備考</t>
        </is>
      </c>
    </row>
    <row r="5" ht="31.5" customHeight="1" s="49">
      <c r="A5" s="66" t="inlineStr">
        <is>
          <t>7-1</t>
        </is>
      </c>
      <c r="B5" s="63" t="inlineStr">
        <is>
          <t>筐体内周囲温度</t>
        </is>
      </c>
      <c r="C5" s="63" t="inlineStr">
        <is>
          <t>実機を筐体に組み込み、走行後に測定</t>
        </is>
      </c>
      <c r="D5" s="63" t="inlineStr">
        <is>
          <t>筐体内</t>
        </is>
      </c>
      <c r="E5" s="63" t="inlineStr">
        <is>
          <t>記録のみ（T_trip / T_hard 決定の根拠）</t>
        </is>
      </c>
      <c r="F5" s="66" t="inlineStr">
        <is>
          <t>℃</t>
        </is>
      </c>
      <c r="G5" s="67" t="n"/>
      <c r="H5" s="67" t="n"/>
      <c r="I5" s="68" t="n"/>
    </row>
    <row r="6" ht="46.5" customHeight="1" s="49">
      <c r="A6" s="66" t="inlineStr">
        <is>
          <t>7-2</t>
        </is>
      </c>
      <c r="B6" s="63" t="inlineStr">
        <is>
          <t>通常走行 Q1 温度</t>
        </is>
      </c>
      <c r="C6" s="62" t="inlineStr">
        <is>
          <t>8A 走行時、熱電対 Ch1</t>
        </is>
      </c>
      <c r="D6" s="62" t="inlineStr">
        <is>
          <t>Q1 パッケージ</t>
        </is>
      </c>
      <c r="E6" s="63" t="inlineStr">
        <is>
          <t>周囲＋1.3℃ 程度（下表参照。パッド→周囲 26.1K/W × 51mW）</t>
        </is>
      </c>
      <c r="F6" s="66" t="inlineStr">
        <is>
          <t>℃</t>
        </is>
      </c>
      <c r="G6" s="67" t="n"/>
      <c r="H6" s="67" t="n"/>
      <c r="I6" s="68" t="n"/>
    </row>
    <row r="7" ht="31.5" customHeight="1" s="49">
      <c r="A7" s="66" t="inlineStr">
        <is>
          <t>7-3</t>
        </is>
      </c>
      <c r="B7" s="63" t="inlineStr">
        <is>
          <t>通常走行 Q3 温度</t>
        </is>
      </c>
      <c r="C7" s="63" t="inlineStr">
        <is>
          <t>同時測定、熱電対 Ch2</t>
        </is>
      </c>
      <c r="D7" s="62" t="inlineStr">
        <is>
          <t>Q3 パッケージ</t>
        </is>
      </c>
      <c r="E7" s="63" t="inlineStr">
        <is>
          <t>周囲＋4.9℃ 程度（23.9K/W × 0.21W）</t>
        </is>
      </c>
      <c r="F7" s="66" t="inlineStr">
        <is>
          <t>℃</t>
        </is>
      </c>
      <c r="G7" s="67" t="n"/>
      <c r="H7" s="67" t="n"/>
      <c r="I7" s="68" t="n"/>
    </row>
    <row r="8" ht="46.5" customHeight="1" s="49">
      <c r="A8" s="66" t="inlineStr">
        <is>
          <t>7-4</t>
        </is>
      </c>
      <c r="B8" s="63" t="inlineStr">
        <is>
          <t>通常走行 TH1 温度</t>
        </is>
      </c>
      <c r="C8" s="62" t="inlineStr">
        <is>
          <t>TH1 の抵抗から換算</t>
        </is>
      </c>
      <c r="D8" s="62" t="inlineStr">
        <is>
          <t>TH1</t>
        </is>
      </c>
      <c r="E8" s="62" t="inlineStr">
        <is>
          <t>Q1 / Q3 と 2〜3℃ 以内。T_trip 95℃ に対し 25℃ 以上の余裕</t>
        </is>
      </c>
      <c r="F8" s="66" t="inlineStr">
        <is>
          <t>℃</t>
        </is>
      </c>
      <c r="G8" s="67" t="n"/>
      <c r="H8" s="67" t="n"/>
      <c r="I8" s="68" t="n"/>
    </row>
    <row r="9" ht="46.5" customHeight="1" s="49">
      <c r="A9" s="66" t="inlineStr">
        <is>
          <t>7-5</t>
        </is>
      </c>
      <c r="B9" s="63" t="inlineStr">
        <is>
          <t>ストール時 Q1 温度</t>
        </is>
      </c>
      <c r="C9" s="63" t="inlineStr">
        <is>
          <t>車輪を押さえて 25A、熱電対 Ch1</t>
        </is>
      </c>
      <c r="D9" s="62" t="inlineStr">
        <is>
          <t>Q1 パッケージ</t>
        </is>
      </c>
      <c r="E9" s="63" t="inlineStr">
        <is>
          <t>周囲＋14.7℃ 程度（2 パック並列、12.5A/個）。★ 単一パック運転では＋59℃ になる</t>
        </is>
      </c>
      <c r="F9" s="66" t="inlineStr">
        <is>
          <t>℃</t>
        </is>
      </c>
      <c r="G9" s="67" t="n"/>
      <c r="H9" s="67" t="n"/>
      <c r="I9" s="68" t="n"/>
    </row>
    <row r="10" ht="46.5" customHeight="1" s="49">
      <c r="A10" s="66" t="inlineStr">
        <is>
          <t>7-6</t>
        </is>
      </c>
      <c r="B10" s="63" t="inlineStr">
        <is>
          <t>ストール時 Q3 温度</t>
        </is>
      </c>
      <c r="C10" s="63" t="inlineStr">
        <is>
          <t>同時測定、熱電対 Ch2</t>
        </is>
      </c>
      <c r="D10" s="62" t="inlineStr">
        <is>
          <t>Q3 パッケージ</t>
        </is>
      </c>
      <c r="E10" s="63" t="inlineStr">
        <is>
          <t>周囲＋54℃ 程度（23.9K/W × 2.25W）。Q3 は全電流を単独で流す</t>
        </is>
      </c>
      <c r="F10" s="66" t="inlineStr">
        <is>
          <t>℃</t>
        </is>
      </c>
      <c r="G10" s="67" t="n"/>
      <c r="H10" s="67" t="n"/>
      <c r="I10" s="68" t="n"/>
    </row>
    <row r="11" ht="31.5" customHeight="1" s="49">
      <c r="A11" s="66" t="inlineStr">
        <is>
          <t>7-7</t>
        </is>
      </c>
      <c r="B11" s="63" t="inlineStr">
        <is>
          <t>ストール時 TH1 温度</t>
        </is>
      </c>
      <c r="C11" s="62" t="inlineStr">
        <is>
          <t>TH1 の抵抗から換算</t>
        </is>
      </c>
      <c r="D11" s="62" t="inlineStr">
        <is>
          <t>TH1</t>
        </is>
      </c>
      <c r="E11" s="63" t="inlineStr">
        <is>
          <t>記録のみ。7-5 / 7-6 とのオフセットが判定対象</t>
        </is>
      </c>
      <c r="F11" s="66" t="inlineStr">
        <is>
          <t>℃</t>
        </is>
      </c>
      <c r="G11" s="67" t="n"/>
      <c r="H11" s="67" t="n"/>
      <c r="I11" s="68" t="n"/>
    </row>
    <row r="12" ht="17.25" customHeight="1" s="49">
      <c r="A12" s="66" t="inlineStr">
        <is>
          <t>7-8</t>
        </is>
      </c>
      <c r="B12" s="63" t="inlineStr">
        <is>
          <t>ストール電流</t>
        </is>
      </c>
      <c r="C12" s="63" t="inlineStr">
        <is>
          <t>同上、クランプメータ</t>
        </is>
      </c>
      <c r="D12" s="63" t="inlineStr">
        <is>
          <t>入力配線</t>
        </is>
      </c>
      <c r="E12" s="62" t="inlineStr">
        <is>
          <t>25A 前後</t>
        </is>
      </c>
      <c r="F12" s="66" t="inlineStr">
        <is>
          <t>A</t>
        </is>
      </c>
      <c r="G12" s="67" t="n"/>
      <c r="H12" s="67" t="n"/>
      <c r="I12" s="68" t="n"/>
    </row>
    <row r="13" ht="31.5" customHeight="1" s="49">
      <c r="A13" s="66" t="inlineStr">
        <is>
          <t>7-9</t>
        </is>
      </c>
      <c r="B13" s="63" t="inlineStr">
        <is>
          <t>遮断までの時間</t>
        </is>
      </c>
      <c r="C13" s="62" t="inlineStr">
        <is>
          <t>7-5 を継続し、ファームウェアが遮断するまで</t>
        </is>
      </c>
      <c r="D13" s="62" t="inlineStr">
        <is>
          <t>TP10 / TP28</t>
        </is>
      </c>
      <c r="E13" s="63" t="inlineStr">
        <is>
          <t>記録のみ。T_trip 95℃ 到達までの時間</t>
        </is>
      </c>
      <c r="F13" s="73" t="inlineStr">
        <is>
          <t>秒</t>
        </is>
      </c>
      <c r="G13" s="67" t="n"/>
      <c r="H13" s="67" t="n"/>
      <c r="I13" s="68" t="n"/>
    </row>
    <row r="14" ht="46.5" customHeight="1" s="49">
      <c r="A14" s="66" t="inlineStr">
        <is>
          <t>7-10</t>
        </is>
      </c>
      <c r="B14" s="62" t="inlineStr">
        <is>
          <t>R11 フランジ温度</t>
        </is>
      </c>
      <c r="C14" s="63" t="inlineStr">
        <is>
          <t>チョッパ連続導通（32.2V で 5.2W）、サーマルカメラ。★ 120℃ を超えたら即中止</t>
        </is>
      </c>
      <c r="D14" s="62" t="inlineStr">
        <is>
          <t>R11 フランジ</t>
        </is>
      </c>
      <c r="E14" s="63" t="inlineStr">
        <is>
          <t>★ 判定ではなく記録。下表の熱抵抗から平衡は 150℃ を超えるため、平衡させずに中止する</t>
        </is>
      </c>
      <c r="F14" s="66" t="inlineStr">
        <is>
          <t>℃</t>
        </is>
      </c>
      <c r="G14" s="67" t="n"/>
      <c r="H14" s="67" t="n"/>
      <c r="I14" s="68" t="n"/>
    </row>
    <row r="15" ht="46.5" customHeight="1" s="49">
      <c r="A15" s="66" t="inlineStr">
        <is>
          <t>7-11</t>
        </is>
      </c>
      <c r="B15" s="63" t="inlineStr">
        <is>
          <t>同時の TH2 温度</t>
        </is>
      </c>
      <c r="C15" s="62" t="inlineStr">
        <is>
          <t>TH2 の抵抗から換算</t>
        </is>
      </c>
      <c r="D15" s="62" t="inlineStr">
        <is>
          <t>TH2</t>
        </is>
      </c>
      <c r="E15" s="62" t="inlineStr">
        <is>
          <t>R11 の上昇を追従して検出すること。これが v3.0.0 で TH2 を追加した目的</t>
        </is>
      </c>
      <c r="F15" s="66" t="inlineStr">
        <is>
          <t>℃</t>
        </is>
      </c>
      <c r="G15" s="67" t="n"/>
      <c r="H15" s="67" t="n"/>
      <c r="I15" s="68" t="n"/>
    </row>
    <row r="16" ht="46.5" customHeight="1" s="49">
      <c r="A16" s="66" t="inlineStr">
        <is>
          <t>7-12</t>
        </is>
      </c>
      <c r="B16" s="63" t="inlineStr">
        <is>
          <t>同時の TH1 温度</t>
        </is>
      </c>
      <c r="C16" s="62" t="inlineStr">
        <is>
          <t>TH1 の抵抗から換算</t>
        </is>
      </c>
      <c r="D16" s="62" t="inlineStr">
        <is>
          <t>TH1</t>
        </is>
      </c>
      <c r="E16" s="63" t="inlineStr">
        <is>
          <t>ほぼ周囲温度のまま（v2.0.0 実測で確認済み。TH1 は R11 の過熱を検出しない）</t>
        </is>
      </c>
      <c r="F16" s="66" t="inlineStr">
        <is>
          <t>℃</t>
        </is>
      </c>
      <c r="G16" s="67" t="n"/>
      <c r="H16" s="67" t="n"/>
      <c r="I16" s="68" t="n"/>
    </row>
    <row r="17" ht="46.5" customHeight="1" s="49">
      <c r="A17" s="66" t="inlineStr">
        <is>
          <t>7-13</t>
        </is>
      </c>
      <c r="B17" s="62" t="inlineStr">
        <is>
          <t>TH2 の応答遅れ</t>
        </is>
      </c>
      <c r="C17" s="62" t="inlineStr">
        <is>
          <t>7-10 の開始から TH2 が 10℃ 上昇するまでの時間</t>
        </is>
      </c>
      <c r="D17" s="62" t="inlineStr">
        <is>
          <t>TH2</t>
        </is>
      </c>
      <c r="E17" s="63" t="inlineStr">
        <is>
          <t>記録のみ。ファームウェア #5 の判定遅延（50ms 周期）に対し十分遅いはず</t>
        </is>
      </c>
      <c r="F17" s="73" t="inlineStr">
        <is>
          <t>秒</t>
        </is>
      </c>
      <c r="G17" s="67" t="n"/>
      <c r="H17" s="67" t="n"/>
      <c r="I17" s="68" t="n"/>
    </row>
    <row r="18" ht="31.5" customHeight="1" s="49">
      <c r="A18" s="66" t="inlineStr">
        <is>
          <t>7-14</t>
        </is>
      </c>
      <c r="B18" s="62" t="inlineStr">
        <is>
          <t>C7 表面温度</t>
        </is>
      </c>
      <c r="C18" s="62" t="inlineStr">
        <is>
          <t>7-10 と同時</t>
        </is>
      </c>
      <c r="D18" s="62" t="inlineStr">
        <is>
          <t>C7 表面</t>
        </is>
      </c>
      <c r="E18" s="63" t="inlineStr">
        <is>
          <t>電解の寿命確認。周囲＋数℃ に留まること</t>
        </is>
      </c>
      <c r="F18" s="66" t="inlineStr">
        <is>
          <t>℃</t>
        </is>
      </c>
      <c r="G18" s="67" t="n"/>
      <c r="H18" s="67" t="n"/>
      <c r="I18" s="68" t="n"/>
    </row>
    <row r="19" ht="46.5" customHeight="1" s="49">
      <c r="A19" s="66" t="inlineStr">
        <is>
          <t>7-15</t>
        </is>
      </c>
      <c r="B19" s="62" t="inlineStr">
        <is>
          <t>IC6 周辺温度</t>
        </is>
      </c>
      <c r="C19" s="62" t="inlineStr">
        <is>
          <t>7-5 のストール時、サーマルカメラ</t>
        </is>
      </c>
      <c r="D19" s="62" t="inlineStr">
        <is>
          <t>IC6 パッケージ</t>
        </is>
      </c>
      <c r="E19" s="63" t="inlineStr">
        <is>
          <t>動作範囲 −40〜+85℃。筐体内 65℃ ＋ 上昇分で 85℃ を超えないこと</t>
        </is>
      </c>
      <c r="F19" s="66" t="inlineStr">
        <is>
          <t>℃</t>
        </is>
      </c>
      <c r="G19" s="67" t="n"/>
      <c r="H19" s="67" t="n"/>
      <c r="I19" s="68" t="n"/>
    </row>
    <row r="20" ht="31.5" customHeight="1" s="49">
      <c r="A20" s="66" t="inlineStr">
        <is>
          <t>7-16</t>
        </is>
      </c>
      <c r="B20" s="62" t="inlineStr">
        <is>
          <t>IC4 / L2 温度</t>
        </is>
      </c>
      <c r="C20" s="63" t="inlineStr">
        <is>
          <t>同上</t>
        </is>
      </c>
      <c r="D20" s="62" t="inlineStr">
        <is>
          <t>IC4 / L2</t>
        </is>
      </c>
      <c r="E20" s="63" t="inlineStr">
        <is>
          <t>周囲＋10℃ 以内（1-11 / 1-12 と同じ値になるはず）</t>
        </is>
      </c>
      <c r="F20" s="66" t="inlineStr">
        <is>
          <t>℃</t>
        </is>
      </c>
      <c r="G20" s="67" t="n"/>
      <c r="H20" s="67" t="n"/>
      <c r="I20" s="68" t="n"/>
    </row>
    <row r="21">
      <c r="A21" s="66" t="inlineStr">
        <is>
          <t>7-17</t>
        </is>
      </c>
      <c r="B21" s="62" t="inlineStr">
        <is>
          <t>R70（シャント）の温度</t>
        </is>
      </c>
      <c r="C21" s="63" t="inlineStr">
        <is>
          <t>25A ストール時、サーマルカメラまたは熱電対</t>
        </is>
      </c>
      <c r="D21" s="62" t="inlineStr">
        <is>
          <t>R70 本体</t>
        </is>
      </c>
      <c r="E21" s="63" t="inlineStr">
        <is>
          <t>記録のみ。25A で 0.31W、30A で 0.45W（2512 / 3W 定格）。周囲＋40℃ 以内を目安</t>
        </is>
      </c>
      <c r="F21" s="66" t="inlineStr">
        <is>
          <t>℃</t>
        </is>
      </c>
      <c r="G21" s="67" t="n"/>
      <c r="H21" s="67" t="n"/>
      <c r="I21" s="68" t="n"/>
    </row>
    <row r="22" ht="17.25" customHeight="1" s="49"/>
    <row r="23" ht="17.25" customHeight="1" s="49">
      <c r="A23" s="74" t="inlineStr">
        <is>
          <t>温度オフセット（自動計算）</t>
        </is>
      </c>
    </row>
    <row r="24" ht="60.75" customHeight="1" s="49">
      <c r="A24" s="75" t="inlineStr">
        <is>
          <t>項目</t>
        </is>
      </c>
      <c r="B24" s="75" t="inlineStr">
        <is>
          <t>計算式</t>
        </is>
      </c>
      <c r="C24" s="75" t="inlineStr">
        <is>
          <t>値</t>
        </is>
      </c>
      <c r="D24" s="75" t="inlineStr">
        <is>
          <t>設計想定</t>
        </is>
      </c>
      <c r="E24" s="75" t="inlineStr">
        <is>
          <t>判定</t>
        </is>
      </c>
    </row>
    <row r="25" ht="60.75" customHeight="1" s="49">
      <c r="A25" s="62" t="inlineStr">
        <is>
          <t>Q1 − TH1（ストール時）</t>
        </is>
      </c>
      <c r="B25" s="62" t="inlineStr">
        <is>
          <t>7-5 − 7-7</t>
        </is>
      </c>
      <c r="C25" s="76">
        <f>IF(COUNT(G9,G11)=2,G9-G11,"")</f>
        <v/>
      </c>
      <c r="D25" s="62" t="inlineStr">
        <is>
          <t>2〜3℃（TH1 は Q1〜Q3 の各ドレインパッドから約 1mm）</t>
        </is>
      </c>
      <c r="E25" s="63" t="n"/>
    </row>
    <row r="26" ht="60.75" customHeight="1" s="49">
      <c r="A26" s="62" t="inlineStr">
        <is>
          <t>Q3 − TH1（ストール時）</t>
        </is>
      </c>
      <c r="B26" s="62" t="inlineStr">
        <is>
          <t>7-6 − 7-7</t>
        </is>
      </c>
      <c r="C26" s="76">
        <f>IF(COUNT(G10,G11)=2,G10-G11,"")</f>
        <v/>
      </c>
      <c r="D26" s="62" t="inlineStr">
        <is>
          <t>5〜10℃（Q3 の損失が大きいぶん開く）</t>
        </is>
      </c>
      <c r="E26" s="63" t="n"/>
    </row>
    <row r="27" ht="60.75" customHeight="1" s="49">
      <c r="A27" s="62" t="inlineStr">
        <is>
          <t>R11 − TH2（チョッパ動作時）</t>
        </is>
      </c>
      <c r="B27" s="62" t="inlineStr">
        <is>
          <t>7-10 − 7-11</t>
        </is>
      </c>
      <c r="C27" s="76">
        <f>IF(COUNT(G14,G15)=2,G14-G15,"")</f>
        <v/>
      </c>
      <c r="D27" s="63" t="inlineStr">
        <is>
          <t>数十℃（TH2 は R11 から 5mm 離してある）</t>
        </is>
      </c>
      <c r="E27" s="63" t="n"/>
    </row>
    <row r="28">
      <c r="A28" s="62" t="inlineStr">
        <is>
          <t>R11 − TH1（チョッパ動作時）</t>
        </is>
      </c>
      <c r="B28" s="62" t="inlineStr">
        <is>
          <t>7-10 − 7-12</t>
        </is>
      </c>
      <c r="C28" s="76">
        <f>IF(COUNT(G14,G16)=2,G14-G16,"")</f>
        <v/>
      </c>
      <c r="D28" s="63" t="inlineStr">
        <is>
          <t>大きく開く（TH1 は R11 を検出しない）</t>
        </is>
      </c>
      <c r="E28" s="63" t="n"/>
    </row>
    <row r="29" ht="17.25" customHeight="1" s="49"/>
    <row r="30" ht="31.5" customHeight="1" s="49">
      <c r="A30" s="74" t="inlineStr">
        <is>
          <t>銅箔の熱抵抗（.kicad_pcb の実形状から数値解析）</t>
        </is>
      </c>
    </row>
    <row r="31" ht="31.5" customHeight="1" s="49">
      <c r="A31" s="75" t="inlineStr">
        <is>
          <t>測定点</t>
        </is>
      </c>
      <c r="B31" s="75" t="inlineStr">
        <is>
          <t>熱抵抗（パッド→周囲）</t>
        </is>
      </c>
      <c r="C31" s="75" t="inlineStr">
        <is>
          <t>初版基板</t>
        </is>
      </c>
      <c r="D31" s="77" t="inlineStr">
        <is>
          <t>v3.0.0 基板</t>
        </is>
      </c>
      <c r="E31" s="75" t="inlineStr">
        <is>
          <t>備考</t>
        </is>
      </c>
    </row>
    <row r="32" ht="31.5" customHeight="1" s="49">
      <c r="A32" s="62" t="inlineStr">
        <is>
          <t>Q1 ドレインタブ</t>
        </is>
      </c>
      <c r="B32" s="62" t="inlineStr">
        <is>
          <t>K/W</t>
        </is>
      </c>
      <c r="C32" s="62" t="inlineStr">
        <is>
          <t>29.1</t>
        </is>
      </c>
      <c r="D32" s="62" t="inlineStr">
        <is>
          <t>26.1</t>
        </is>
      </c>
      <c r="E32" s="63" t="inlineStr">
        <is>
          <t>裏面 VBUS 放熱ベタの拡大（29.0 × 29.0mm、783mm²）による</t>
        </is>
      </c>
    </row>
    <row r="33" ht="31.5" customHeight="1" s="49">
      <c r="A33" s="62" t="inlineStr">
        <is>
          <t>Q2 ドレインタブ</t>
        </is>
      </c>
      <c r="B33" s="62" t="inlineStr">
        <is>
          <t>K/W</t>
        </is>
      </c>
      <c r="C33" s="62" t="inlineStr">
        <is>
          <t>28.4</t>
        </is>
      </c>
      <c r="D33" s="62" t="inlineStr">
        <is>
          <t>25.9</t>
        </is>
      </c>
      <c r="E33" s="63" t="inlineStr">
        <is>
          <t>同上</t>
        </is>
      </c>
    </row>
    <row r="34" ht="31.5" customHeight="1" s="49">
      <c r="A34" s="62" t="inlineStr">
        <is>
          <t>Q3 ドレインタブ</t>
        </is>
      </c>
      <c r="B34" s="62" t="inlineStr">
        <is>
          <t>K/W</t>
        </is>
      </c>
      <c r="C34" s="62" t="inlineStr">
        <is>
          <t>24.0</t>
        </is>
      </c>
      <c r="D34" s="62" t="inlineStr">
        <is>
          <t>23.9</t>
        </is>
      </c>
      <c r="E34" s="63" t="inlineStr">
        <is>
          <t>ほぼ変化なし（元から Vout ベタが広い）</t>
        </is>
      </c>
    </row>
    <row r="35">
      <c r="A35" s="62" t="inlineStr">
        <is>
          <t>R11 フランジ</t>
        </is>
      </c>
      <c r="B35" s="62" t="inlineStr">
        <is>
          <t>K/W</t>
        </is>
      </c>
      <c r="C35" s="62" t="inlineStr">
        <is>
          <t>27.4</t>
        </is>
      </c>
      <c r="D35" s="62" t="inlineStr">
        <is>
          <t>27.3</t>
        </is>
      </c>
      <c r="E35" s="63" t="inlineStr">
        <is>
          <t>変化なし。R11 の放熱は元から専用ベタ</t>
        </is>
      </c>
    </row>
    <row r="36" ht="17.25" customHeight="1" s="49"/>
    <row r="37" ht="17.25" customHeight="1" s="49">
      <c r="A37" s="74" t="inlineStr">
        <is>
          <t>損失と温度上昇の予測（上の熱抵抗から算出）</t>
        </is>
      </c>
    </row>
    <row r="38" ht="46.5" customHeight="1" s="49">
      <c r="A38" s="75" t="inlineStr">
        <is>
          <t>条件</t>
        </is>
      </c>
      <c r="B38" s="75" t="inlineStr">
        <is>
          <t>電流</t>
        </is>
      </c>
      <c r="C38" s="77" t="inlineStr">
        <is>
          <t>1 素子の損失</t>
        </is>
      </c>
      <c r="D38" s="77" t="inlineStr">
        <is>
          <t>Q1 / Q2 の上昇</t>
        </is>
      </c>
      <c r="E38" s="77" t="inlineStr">
        <is>
          <t>Q3 の上昇</t>
        </is>
      </c>
    </row>
    <row r="39" ht="46.5" customHeight="1" s="49">
      <c r="A39" s="63" t="inlineStr">
        <is>
          <t>通常走行（2 パック）</t>
        </is>
      </c>
      <c r="B39" s="62" t="inlineStr">
        <is>
          <t>8A 合計 / 4A 個別</t>
        </is>
      </c>
      <c r="C39" s="62" t="inlineStr">
        <is>
          <t>Q1 51mW / Q3 0.21W</t>
        </is>
      </c>
      <c r="D39" s="63" t="inlineStr">
        <is>
          <t>＋1.3℃</t>
        </is>
      </c>
      <c r="E39" s="63" t="inlineStr">
        <is>
          <t>＋4.9℃</t>
        </is>
      </c>
    </row>
    <row r="40" ht="46.5" customHeight="1" s="49">
      <c r="A40" s="63" t="inlineStr">
        <is>
          <t>ストール（2 パック）</t>
        </is>
      </c>
      <c r="B40" s="62" t="inlineStr">
        <is>
          <t>25A 合計 / 12.5A 個別</t>
        </is>
      </c>
      <c r="C40" s="62" t="inlineStr">
        <is>
          <t>Q1 0.56W / Q3 2.25W</t>
        </is>
      </c>
      <c r="D40" s="63" t="inlineStr">
        <is>
          <t>＋14.7℃</t>
        </is>
      </c>
      <c r="E40" s="63" t="inlineStr">
        <is>
          <t>＋54℃</t>
        </is>
      </c>
    </row>
    <row r="41" ht="46.5" customHeight="1" s="49">
      <c r="A41" s="63" t="inlineStr">
        <is>
          <t>ストール（単一パック）</t>
        </is>
      </c>
      <c r="B41" s="62" t="inlineStr">
        <is>
          <t>25A すべて片側</t>
        </is>
      </c>
      <c r="C41" s="62" t="inlineStr">
        <is>
          <t>Q1 2.25W / Q3 2.25W</t>
        </is>
      </c>
      <c r="D41" s="63" t="inlineStr">
        <is>
          <t>＋59℃</t>
        </is>
      </c>
      <c r="E41" s="63" t="inlineStr">
        <is>
          <t>＋54℃</t>
        </is>
      </c>
    </row>
    <row r="42">
      <c r="A42" s="63" t="inlineStr">
        <is>
          <t>ヒューズ定格（参考）</t>
        </is>
      </c>
      <c r="B42" s="62" t="inlineStr">
        <is>
          <t>30A</t>
        </is>
      </c>
      <c r="C42" s="62" t="inlineStr">
        <is>
          <t>Q3 3.24W</t>
        </is>
      </c>
      <c r="D42" s="62" t="inlineStr">
        <is>
          <t>—</t>
        </is>
      </c>
      <c r="E42" s="63" t="inlineStr">
        <is>
          <t>＋77℃</t>
        </is>
      </c>
    </row>
    <row r="43" ht="46.5" customHeight="1" s="49"/>
    <row r="44" ht="31.5" customHeight="1" s="49">
      <c r="A44" s="69" t="inlineStr">
        <is>
          <t>※ Q1 / Q2 / Q3 は v3.0.0 で CSD18540Q5B（TI、在庫終了）から BSC028N06NS（Infineon、LCSC C148250、PG-TDSON-8 / SuperSO8）に変更しました。基板の footprint「TDSON-8-1」は Infineon の PG-TDSON-8 用に描かれたものなので幾何学的に一致します。ピン配置は 1-3 = Source / 4 = Gate / 5-8 = Drain（露出パッド）。★ 末尾に SC が付く BSC028N06NSSC（LCSC C534317）は露出パッドがソースの別品種なので絶対に使わないこと。</t>
        </is>
      </c>
    </row>
    <row r="45" ht="60.75" customHeight="1" s="49">
      <c r="A45" s="70" t="inlineStr">
        <is>
          <t>※ 上表は .kicad_pcb の実形状から銅箔の面内熱伝導・FR4 の板厚方向伝導・両面 8W/m²K の自然対流を連立させて解いた値です。パッケージの接合部−ケース間（BSC028N06NS の R_θJC 0.9K/W typ・1.5K/W max）は含みません。損失 2.25W でも接合部はケースより 3.4℃ 高いだけなので、実質はパッケージ表面温度の予測値として使えます。</t>
        </is>
      </c>
    </row>
    <row r="46" ht="31.5" customHeight="1" s="49">
      <c r="A46" s="69" t="inlineStr">
        <is>
          <t>※ BSC028N06NS の Tj max は 150℃ で、CSD18540Q5B / NTMFS5C628NL の 175℃ より 25℃ 低くなります。周囲 65℃・2 パックのストールでも Q3 の接合部は 65 ＋ 54 ＋ 1.5 × 2.25 ≒ 122℃（余裕 28℃）、単一パックの最悪でも Q1 が 127℃（余裕 23℃）です。さらに TH1 は Q1〜Q3 の各ドレインパッドから約 1mm にあるためほぼケース温度を読み、ストール時のケース 119℃ は T_hard 115℃ を超えるので、ファームウェア #4 が接合部 150℃ のはるか手前で遮断します。ファームが死んだ場合も R42 / Q6 が 93ms で EN を落とすため到達しません。</t>
        </is>
      </c>
    </row>
    <row r="47" ht="31.5" customHeight="1" s="49">
      <c r="A47" s="69" t="inlineStr">
        <is>
          <t>※ Rds_on は BSC028N06NS の max 2.8mΩ（Vgs 10V / 25℃、typ 2.5mΩ）に温度係数を掛け、60℃ で 3.2mΩ、100℃ で 3.6mΩ として計算しました（60V トレンチ MOSFET の一般値、100℃ で ×1.3）。実測が上表より高い場合は、まず Vgs（4-3）が 10V 以上出ているかを確認してください。</t>
        </is>
      </c>
    </row>
    <row r="48" ht="46.5" customHeight="1" s="49">
      <c r="A48" s="59" t="inlineStr">
        <is>
          <t>★ 単一パック運転のストールが最悪条件です。Q1 または Q2 が 25A を単独で流すと＋59℃ になり、2 パック並列（＋14.7℃）の 4 倍になります。片方のパックを外した状態で高負荷をかけないでください。</t>
        </is>
      </c>
    </row>
    <row r="49" ht="31.5" customHeight="1" s="49">
      <c r="A49" s="69" t="inlineStr">
        <is>
          <t>※ R11 の熱抵抗 27.3K/W は、v2.1.1 の実測（32.5V / 5.28W で 120℃ に達しても平衡せず → 18℃/W 超）と整合します。5.2W の連続導通では平衡が 周囲＋142℃ となり、周囲 25℃ でも 167℃ で最高使用温度 150℃ を超えます。高温域では放射と自然対流の強化で実効熱抵抗が下がるため実際はこれより低くなりますが、「連続導通では 150℃ を超える」という結論は変わりません。</t>
        </is>
      </c>
    </row>
    <row r="50" ht="31.5" customHeight="1" s="49">
      <c r="A50" s="70" t="inlineStr">
        <is>
          <t>※ したがって R11 の過熱保護は TH2（ファームウェア #5）とチョッパ ON 積算（#6）が担います。これが v3.0.0 で TH2 を追加した理由です。7-11 / 7-13 でこの保護が実際に機能することを確認してください。</t>
        </is>
      </c>
    </row>
    <row r="51" ht="17.25" customHeight="1" s="49">
      <c r="A51" s="69" t="inlineStr">
        <is>
          <t>※ R11（C&amp;B RESI TPAN0263F200RK9）のタブは絶縁されています（端子−フランジ間 2000VAC、絶縁抵抗 10MΩ 以上）。したがってフランジを GND ベタに接続する実装は電気的に安全で、放熱経路として使えます。</t>
        </is>
      </c>
    </row>
    <row r="52" ht="17.25" customHeight="1" s="49">
      <c r="A52" s="69" t="inlineStr">
        <is>
          <t>※ 7-10 はサーマルカメラの外殻温度です。フランジ温度はこれより高くなります。</t>
        </is>
      </c>
    </row>
    <row r="53">
      <c r="A53" s="69" t="inlineStr">
        <is>
          <t>※ T_trip / T_hard / TH2 の遮断点の暫定値（95 / 115 / 110℃）は、7-4 / 7-7 / 7-11 の実測で確定します。設計仕様書 9_未確定事項 を参照してください。</t>
        </is>
      </c>
    </row>
  </sheetData>
  <mergeCells count="14">
    <mergeCell ref="A52:I52"/>
    <mergeCell ref="A49:I49"/>
    <mergeCell ref="A51:I51"/>
    <mergeCell ref="A2:I2"/>
    <mergeCell ref="A47:I47"/>
    <mergeCell ref="A50:I50"/>
    <mergeCell ref="A37:I37"/>
    <mergeCell ref="A46:I46"/>
    <mergeCell ref="A44:I44"/>
    <mergeCell ref="A45:I45"/>
    <mergeCell ref="A23:I23"/>
    <mergeCell ref="A53:I53"/>
    <mergeCell ref="A48:I48"/>
    <mergeCell ref="A30:I30"/>
  </mergeCells>
  <dataValidations count="1">
    <dataValidation sqref="H5:H20" showDropDown="0" showInputMessage="0" showErrorMessage="0" allowBlank="1" type="list" errorStyle="stop" operator="between">
      <formula1>"OK,NG,未実施"</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I2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48" min="1" max="1"/>
    <col width="20" customWidth="1" style="48" min="2" max="2"/>
    <col width="34" customWidth="1" style="48" min="3" max="3"/>
    <col width="16" customWidth="1" style="48" min="4" max="4"/>
    <col width="26" customWidth="1" style="48" min="5" max="5"/>
    <col width="7" customWidth="1" style="48" min="6" max="6"/>
    <col width="12" customWidth="1" style="48" min="7" max="7"/>
    <col width="9" customWidth="1" style="48" min="8" max="8"/>
    <col width="26" customWidth="1" style="48" min="9" max="9"/>
  </cols>
  <sheetData>
    <row r="1" ht="21" customHeight="1" s="49">
      <c r="A1" s="50" t="inlineStr">
        <is>
          <t>8_ブレーキチョッパ</t>
        </is>
      </c>
    </row>
    <row r="2" ht="27.75" customHeight="1" s="49">
      <c r="A2" s="72" t="inlineStr">
        <is>
          <t>v2.1.1 の fail-off 構成（Q5 による PNP 反転段）をそのまま維持。R10 の取り外しは不要です。v3.0.0 では CHOP_SENSE によるマイコン側の監視が加わりました。</t>
        </is>
      </c>
    </row>
    <row r="4" ht="30" customHeight="1" s="49">
      <c r="A4" s="65" t="inlineStr">
        <is>
          <t>No.</t>
        </is>
      </c>
      <c r="B4" s="61" t="inlineStr">
        <is>
          <t>項目</t>
        </is>
      </c>
      <c r="C4" s="61" t="inlineStr">
        <is>
          <t>手順・条件</t>
        </is>
      </c>
      <c r="D4" s="61" t="inlineStr">
        <is>
          <t>測定点</t>
        </is>
      </c>
      <c r="E4" s="61" t="inlineStr">
        <is>
          <t>設計値・判定基準</t>
        </is>
      </c>
      <c r="F4" s="61" t="inlineStr">
        <is>
          <t>単位</t>
        </is>
      </c>
      <c r="G4" s="61" t="inlineStr">
        <is>
          <t>実測値</t>
        </is>
      </c>
      <c r="H4" s="61" t="inlineStr">
        <is>
          <t>判定</t>
        </is>
      </c>
      <c r="I4" s="61" t="inlineStr">
        <is>
          <t>備考</t>
        </is>
      </c>
    </row>
    <row r="5" ht="17.25" customHeight="1" s="49">
      <c r="A5" s="66" t="inlineStr">
        <is>
          <t>8-1</t>
        </is>
      </c>
      <c r="B5" s="62" t="inlineStr">
        <is>
          <t>12V レール</t>
        </is>
      </c>
      <c r="C5" s="62" t="inlineStr">
        <is>
          <t>Vout 29.4V、DMM</t>
        </is>
      </c>
      <c r="D5" s="62" t="inlineStr">
        <is>
          <t>TP8 / TP3</t>
        </is>
      </c>
      <c r="E5" s="62" t="inlineStr">
        <is>
          <t>12V ±5%（11.4〜12.6V）</t>
        </is>
      </c>
      <c r="F5" s="66" t="inlineStr">
        <is>
          <t>V</t>
        </is>
      </c>
      <c r="G5" s="67" t="n"/>
      <c r="H5" s="67" t="n"/>
      <c r="I5" s="68" t="n"/>
    </row>
    <row r="6" ht="17.25" customHeight="1" s="49">
      <c r="A6" s="66" t="inlineStr">
        <is>
          <t>8-2</t>
        </is>
      </c>
      <c r="B6" s="63" t="inlineStr">
        <is>
          <t>基準電圧</t>
        </is>
      </c>
      <c r="C6" s="63" t="inlineStr">
        <is>
          <t>同上</t>
        </is>
      </c>
      <c r="D6" s="62" t="inlineStr">
        <is>
          <t>TP11 / TP3</t>
        </is>
      </c>
      <c r="E6" s="62" t="inlineStr">
        <is>
          <t>2.495V ±0.5%</t>
        </is>
      </c>
      <c r="F6" s="66" t="inlineStr">
        <is>
          <t>V</t>
        </is>
      </c>
      <c r="G6" s="67" t="n"/>
      <c r="H6" s="67" t="n"/>
      <c r="I6" s="68" t="n"/>
    </row>
    <row r="7" ht="31.5" customHeight="1" s="49">
      <c r="A7" s="66" t="inlineStr">
        <is>
          <t>8-3</t>
        </is>
      </c>
      <c r="B7" s="63" t="inlineStr">
        <is>
          <t>分圧ノード</t>
        </is>
      </c>
      <c r="C7" s="63" t="inlineStr">
        <is>
          <t>同上</t>
        </is>
      </c>
      <c r="D7" s="62" t="inlineStr">
        <is>
          <t>TP15 / TP3</t>
        </is>
      </c>
      <c r="E7" s="62" t="inlineStr">
        <is>
          <t>Vout × 0.0774（29.4V で 2.28V）</t>
        </is>
      </c>
      <c r="F7" s="66" t="inlineStr">
        <is>
          <t>V</t>
        </is>
      </c>
      <c r="G7" s="67" t="n"/>
      <c r="H7" s="67" t="n"/>
      <c r="I7" s="68" t="n"/>
    </row>
    <row r="8" ht="46.5" customHeight="1" s="49">
      <c r="A8" s="66" t="inlineStr">
        <is>
          <t>8-4</t>
        </is>
      </c>
      <c r="B8" s="62" t="inlineStr">
        <is>
          <t>Q5 コレクタ（OFF）</t>
        </is>
      </c>
      <c r="C8" s="63" t="inlineStr">
        <is>
          <t>チョッパ非動作時</t>
        </is>
      </c>
      <c r="D8" s="62" t="inlineStr">
        <is>
          <t>TP23 / TP3</t>
        </is>
      </c>
      <c r="E8" s="62" t="inlineStr">
        <is>
          <t>Vout × 0.0077（29.4V で 226mV）。R14 経由で Chopper_Sense の電位が分圧されて現れる</t>
        </is>
      </c>
      <c r="F8" s="66" t="inlineStr">
        <is>
          <t>V</t>
        </is>
      </c>
      <c r="G8" s="67" t="n"/>
      <c r="H8" s="67" t="n"/>
      <c r="I8" s="68" t="n"/>
    </row>
    <row r="9" ht="46.5" customHeight="1" s="49">
      <c r="A9" s="66" t="inlineStr">
        <is>
          <t>8-5</t>
        </is>
      </c>
      <c r="B9" s="62" t="inlineStr">
        <is>
          <t>Q4 ゲート（OFF）</t>
        </is>
      </c>
      <c r="C9" s="63" t="inlineStr">
        <is>
          <t>同上</t>
        </is>
      </c>
      <c r="D9" s="62" t="inlineStr">
        <is>
          <t>TP9 / TP12</t>
        </is>
      </c>
      <c r="E9" s="62" t="inlineStr">
        <is>
          <t>Vout × 0.0070（29.4V で 206mV）。8-4 の値を R12 / R13 で分圧した値</t>
        </is>
      </c>
      <c r="F9" s="66" t="inlineStr">
        <is>
          <t>V</t>
        </is>
      </c>
      <c r="G9" s="67" t="n"/>
      <c r="H9" s="67" t="n"/>
      <c r="I9" s="68" t="n"/>
    </row>
    <row r="10" ht="17.25" customHeight="1" s="49">
      <c r="A10" s="66" t="inlineStr">
        <is>
          <t>8-6</t>
        </is>
      </c>
      <c r="B10" s="62" t="inlineStr">
        <is>
          <t>Q4 ドレイン（OFF）</t>
        </is>
      </c>
      <c r="C10" s="63" t="inlineStr">
        <is>
          <t>同上</t>
        </is>
      </c>
      <c r="D10" s="62" t="inlineStr">
        <is>
          <t>TP21 / TP12</t>
        </is>
      </c>
      <c r="E10" s="62" t="inlineStr">
        <is>
          <t>Vout と同電位</t>
        </is>
      </c>
      <c r="F10" s="66" t="inlineStr">
        <is>
          <t>V</t>
        </is>
      </c>
      <c r="G10" s="67" t="n"/>
      <c r="H10" s="67" t="n"/>
      <c r="I10" s="68" t="n"/>
    </row>
    <row r="11" ht="17.25" customHeight="1" s="49">
      <c r="A11" s="66" t="inlineStr">
        <is>
          <t>8-7</t>
        </is>
      </c>
      <c r="B11" s="63" t="inlineStr">
        <is>
          <t>チョッパ動作点</t>
        </is>
      </c>
      <c r="C11" s="63" t="inlineStr">
        <is>
          <t>電源電圧を 30V から慎重に上げる</t>
        </is>
      </c>
      <c r="D11" s="62" t="inlineStr">
        <is>
          <t>TP10 / TP19</t>
        </is>
      </c>
      <c r="E11" s="62" t="inlineStr">
        <is>
          <t>32.2V でクランプ開始</t>
        </is>
      </c>
      <c r="F11" s="66" t="inlineStr">
        <is>
          <t>V</t>
        </is>
      </c>
      <c r="G11" s="67" t="n"/>
      <c r="H11" s="67" t="n"/>
      <c r="I11" s="68" t="n"/>
    </row>
    <row r="12" ht="17.25" customHeight="1" s="49">
      <c r="A12" s="66" t="inlineStr">
        <is>
          <t>8-8</t>
        </is>
      </c>
      <c r="B12" s="63" t="inlineStr">
        <is>
          <t>チョッパ復帰点</t>
        </is>
      </c>
      <c r="C12" s="63" t="inlineStr">
        <is>
          <t>電圧を下げる</t>
        </is>
      </c>
      <c r="D12" s="62" t="inlineStr">
        <is>
          <t>TP10 / TP19</t>
        </is>
      </c>
      <c r="E12" s="62" t="inlineStr">
        <is>
          <t>30.8V で復帰</t>
        </is>
      </c>
      <c r="F12" s="66" t="inlineStr">
        <is>
          <t>V</t>
        </is>
      </c>
      <c r="G12" s="67" t="n"/>
      <c r="H12" s="67" t="n"/>
      <c r="I12" s="68" t="n"/>
    </row>
    <row r="13" ht="17.25" customHeight="1" s="49">
      <c r="A13" s="66" t="inlineStr">
        <is>
          <t>8-9</t>
        </is>
      </c>
      <c r="B13" s="62" t="inlineStr">
        <is>
          <t>Q5 コレクタ（ON）</t>
        </is>
      </c>
      <c r="C13" s="63" t="inlineStr">
        <is>
          <t>チョッパ動作中</t>
        </is>
      </c>
      <c r="D13" s="62" t="inlineStr">
        <is>
          <t>TP23 / TP3</t>
        </is>
      </c>
      <c r="E13" s="62" t="inlineStr">
        <is>
          <t>11.9V 付近</t>
        </is>
      </c>
      <c r="F13" s="66" t="inlineStr">
        <is>
          <t>V</t>
        </is>
      </c>
      <c r="G13" s="67" t="n"/>
      <c r="H13" s="67" t="n"/>
      <c r="I13" s="68" t="n"/>
    </row>
    <row r="14" ht="17.25" customHeight="1" s="49">
      <c r="A14" s="66" t="inlineStr">
        <is>
          <t>8-10</t>
        </is>
      </c>
      <c r="B14" s="62" t="inlineStr">
        <is>
          <t>Q4 ゲート（ON）</t>
        </is>
      </c>
      <c r="C14" s="63" t="inlineStr">
        <is>
          <t>同上</t>
        </is>
      </c>
      <c r="D14" s="62" t="inlineStr">
        <is>
          <t>TP9 / TP12</t>
        </is>
      </c>
      <c r="E14" s="62" t="inlineStr">
        <is>
          <t>10.9V 付近</t>
        </is>
      </c>
      <c r="F14" s="66" t="inlineStr">
        <is>
          <t>V</t>
        </is>
      </c>
      <c r="G14" s="67" t="n"/>
      <c r="H14" s="67" t="n"/>
      <c r="I14" s="68" t="n"/>
    </row>
    <row r="15" ht="31.5" customHeight="1" s="49">
      <c r="A15" s="66" t="inlineStr">
        <is>
          <t>8-11</t>
        </is>
      </c>
      <c r="B15" s="63" t="inlineStr">
        <is>
          <t>チョッパ電流</t>
        </is>
      </c>
      <c r="C15" s="62" t="inlineStr">
        <is>
          <t>R11 両端電圧から算出、または電源の電流表示</t>
        </is>
      </c>
      <c r="D15" s="62" t="inlineStr">
        <is>
          <t>R11 / TP21</t>
        </is>
      </c>
      <c r="E15" s="62" t="inlineStr">
        <is>
          <t>0.161A 前後（32.2V / 200Ω）</t>
        </is>
      </c>
      <c r="F15" s="66" t="inlineStr">
        <is>
          <t>A</t>
        </is>
      </c>
      <c r="G15" s="67" t="n"/>
      <c r="H15" s="67" t="n"/>
      <c r="I15" s="68" t="n"/>
    </row>
    <row r="16" ht="46.5" customHeight="1" s="49">
      <c r="A16" s="66" t="inlineStr">
        <is>
          <t>8-12</t>
        </is>
      </c>
      <c r="B16" s="62" t="inlineStr">
        <is>
          <t>R11 のフランジ温度</t>
        </is>
      </c>
      <c r="C16" s="62" t="inlineStr">
        <is>
          <t>8-7 の状態を数十秒継続</t>
        </is>
      </c>
      <c r="D16" s="62" t="inlineStr">
        <is>
          <t>R11 フランジ</t>
        </is>
      </c>
      <c r="E16" s="63" t="inlineStr">
        <is>
          <t>周囲＋20℃ 程度（数十秒時点）。連続導通では 150℃ を超えるため長時間続けない</t>
        </is>
      </c>
      <c r="F16" s="66" t="inlineStr">
        <is>
          <t>℃</t>
        </is>
      </c>
      <c r="G16" s="67" t="n"/>
      <c r="H16" s="67" t="n"/>
      <c r="I16" s="68" t="n"/>
    </row>
    <row r="17" ht="31.5" customHeight="1" s="49">
      <c r="A17" s="66" t="inlineStr">
        <is>
          <t>8-13</t>
        </is>
      </c>
      <c r="B17" s="62" t="inlineStr">
        <is>
          <t>CHOP_SENSE の読み（OFF）</t>
        </is>
      </c>
      <c r="C17" s="63" t="inlineStr">
        <is>
          <t>チョッパ非動作時、SWD で ADC 値を読む</t>
        </is>
      </c>
      <c r="D17" s="62" t="inlineStr">
        <is>
          <t>IC6.10 / C35</t>
        </is>
      </c>
      <c r="E17" s="62" t="inlineStr">
        <is>
          <t>ChopperLoad ÷ 11。Vout 29.4V で 2.673V（＝ H）</t>
        </is>
      </c>
      <c r="F17" s="66" t="inlineStr">
        <is>
          <t>V</t>
        </is>
      </c>
      <c r="G17" s="67" t="n"/>
      <c r="H17" s="67" t="n"/>
      <c r="I17" s="68" t="n"/>
    </row>
    <row r="18" ht="46.5" customHeight="1" s="49">
      <c r="A18" s="66" t="inlineStr">
        <is>
          <t>8-14</t>
        </is>
      </c>
      <c r="B18" s="62" t="inlineStr">
        <is>
          <t>CHOP_SENSE の読み（ON）</t>
        </is>
      </c>
      <c r="C18" s="63" t="inlineStr">
        <is>
          <t>チョッパ動作中</t>
        </is>
      </c>
      <c r="D18" s="63" t="inlineStr">
        <is>
          <t>同上</t>
        </is>
      </c>
      <c r="E18" s="62" t="inlineStr">
        <is>
          <t>0V 付近（＝ L）。ファームウェア #6 は Low をチョッパ動作中と判定する</t>
        </is>
      </c>
      <c r="F18" s="66" t="inlineStr">
        <is>
          <t>V</t>
        </is>
      </c>
      <c r="G18" s="67" t="n"/>
      <c r="H18" s="67" t="n"/>
      <c r="I18" s="68" t="n"/>
    </row>
    <row r="20" ht="17.25" customHeight="1" s="49">
      <c r="A20" s="69" t="inlineStr">
        <is>
          <t>※ 8-7 は OVP 動作点 34.0V に近いため、電圧はゆっくり上げてください。確認できたら速やかに下げます。</t>
        </is>
      </c>
    </row>
    <row r="21" ht="31.5" customHeight="1" s="49">
      <c r="A21" s="69" t="inlineStr">
        <is>
          <t>※ v2.1.1 で fail-off 構成（Q5 による PNP 反転段）になったため、v2.0.0 で行っていた「R10 を外してチョッパを無効化する」手順は不要です。LM397 の故障・12V レール喪失・Q5 のオープン故障・R21 の断線のいずれでも Q4 はオフになります。ただし VREF の崩壊と Q5 / Q4 の短絡故障は fail-on のままで、そこを v3.0.0 では TH2 と #5 / #6 で受けます。</t>
        </is>
      </c>
    </row>
    <row r="22" ht="31.5" customHeight="1" s="49">
      <c r="A22" s="69" t="inlineStr">
        <is>
          <t>※ 8-4 / 8-5 は 0V ではありません。R14（1MΩ）がヒステリシス用に Chopper_Sense と Q5 のコレクタを繋いでいるため、チョッパ OFF でも Chopper_Sense の電位が R14 と R12+R13 で分圧されて現れます。Chopper_Sig = Vout × 0.0775 × 110k/(1000k+110k) = Vout × 0.0077。</t>
        </is>
      </c>
    </row>
    <row r="23" ht="31.5" customHeight="1" s="49">
      <c r="A23" s="70" t="inlineStr">
        <is>
          <t>※ この性質を使うと TP23 の実測値から Vout を逆算できます（Vout ≒ TP23 ÷ 0.0077）。32.2V まで上げなくても、分圧回路と R14 の結線が設計どおりかを低電圧のまま検証できます。</t>
        </is>
      </c>
    </row>
    <row r="24" ht="31.5" customHeight="1" s="49">
      <c r="A24" s="69" t="inlineStr">
        <is>
          <t>※ 8-13 / 8-14 は v3.0.0 で追加した項目です。CHOP_SENSE（R36 1MΩ / R37 100kΩ の ÷11 分圧）はテストポイントを持たないため、IC6.10 または C35 の上側端子で測るか、SWD で ADC の生値を読んでください。</t>
        </is>
      </c>
    </row>
    <row r="25" ht="31.5" customHeight="1" s="49">
      <c r="A25" s="69" t="inlineStr">
        <is>
          <t>※ R11 の最終値は 9-6 / 9-7 の回生プロファイル実測で決めます。候補と周囲 65℃ での連続導通時の平衡温度（熱抵抗 27.3K/W）：200Ω → 207℃ / 330Ω → 151℃ / 470Ω → 126℃ / 680Ω → 108℃。引ききるのに必要な制動時間は 200Ω で 2.5 秒、470Ω で 5.9 秒です。</t>
        </is>
      </c>
    </row>
  </sheetData>
  <mergeCells count="7">
    <mergeCell ref="A25:I25"/>
    <mergeCell ref="A2:I2"/>
    <mergeCell ref="A21:I21"/>
    <mergeCell ref="A23:I23"/>
    <mergeCell ref="A22:I22"/>
    <mergeCell ref="A20:I20"/>
    <mergeCell ref="A24:I24"/>
  </mergeCells>
  <dataValidations count="1">
    <dataValidation sqref="H5:H18" showDropDown="0" showInputMessage="0" showErrorMessage="0" allowBlank="1" type="list" errorStyle="stop" operator="between">
      <formula1>"OK,NG,未実施"</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I2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48" min="1" max="1"/>
    <col width="20" customWidth="1" style="48" min="2" max="2"/>
    <col width="34" customWidth="1" style="48" min="3" max="3"/>
    <col width="16" customWidth="1" style="48" min="4" max="4"/>
    <col width="26" customWidth="1" style="48" min="5" max="5"/>
    <col width="7" customWidth="1" style="48" min="6" max="6"/>
    <col width="12" customWidth="1" style="48" min="7" max="7"/>
    <col width="9" customWidth="1" style="48" min="8" max="8"/>
    <col width="26" customWidth="1" style="48" min="9" max="9"/>
  </cols>
  <sheetData>
    <row r="1" ht="21" customHeight="1" s="49">
      <c r="A1" s="50" t="inlineStr">
        <is>
          <t>9_走行時総合</t>
        </is>
      </c>
    </row>
    <row r="2" ht="27.75" customHeight="1" s="49">
      <c r="A2" s="64" t="inlineStr">
        <is>
          <t>実走行状態での確認。9-6 / 9-7 は R11 の最終値とファームウェア #6 の閾値を決める項目で、本シートの最優先事項です。</t>
        </is>
      </c>
    </row>
    <row r="3"/>
    <row r="4" ht="30" customHeight="1" s="49">
      <c r="A4" s="65" t="inlineStr">
        <is>
          <t>No.</t>
        </is>
      </c>
      <c r="B4" s="61" t="inlineStr">
        <is>
          <t>項目</t>
        </is>
      </c>
      <c r="C4" s="61" t="inlineStr">
        <is>
          <t>手順・条件</t>
        </is>
      </c>
      <c r="D4" s="61" t="inlineStr">
        <is>
          <t>測定点</t>
        </is>
      </c>
      <c r="E4" s="61" t="inlineStr">
        <is>
          <t>設計値・判定基準</t>
        </is>
      </c>
      <c r="F4" s="61" t="inlineStr">
        <is>
          <t>単位</t>
        </is>
      </c>
      <c r="G4" s="61" t="inlineStr">
        <is>
          <t>実測値</t>
        </is>
      </c>
      <c r="H4" s="61" t="inlineStr">
        <is>
          <t>判定</t>
        </is>
      </c>
      <c r="I4" s="61" t="inlineStr">
        <is>
          <t>備考</t>
        </is>
      </c>
    </row>
    <row r="5" ht="17.25" customHeight="1" s="49">
      <c r="A5" s="66" t="inlineStr">
        <is>
          <t>9-1</t>
        </is>
      </c>
      <c r="B5" s="63" t="inlineStr">
        <is>
          <t>バス電圧リプル</t>
        </is>
      </c>
      <c r="C5" s="63" t="inlineStr">
        <is>
          <t>走行中、AC カップリング</t>
        </is>
      </c>
      <c r="D5" s="62" t="inlineStr">
        <is>
          <t>TP4 / TP17</t>
        </is>
      </c>
      <c r="E5" s="62" t="inlineStr">
        <is>
          <t>18kHz 成分が 100mV 以下</t>
        </is>
      </c>
      <c r="F5" s="66" t="inlineStr">
        <is>
          <t>mV</t>
        </is>
      </c>
      <c r="G5" s="67" t="n"/>
      <c r="H5" s="67" t="n"/>
      <c r="I5" s="68" t="n"/>
    </row>
    <row r="6" ht="31.5" customHeight="1" s="49">
      <c r="A6" s="66" t="inlineStr">
        <is>
          <t>9-2</t>
        </is>
      </c>
      <c r="B6" s="62" t="inlineStr">
        <is>
          <t>Q1 ゲート波形</t>
        </is>
      </c>
      <c r="C6" s="63" t="inlineStr">
        <is>
          <t>走行中、Q1 のゲートを観測</t>
        </is>
      </c>
      <c r="D6" s="62" t="inlineStr">
        <is>
          <t>Q1 ゲート</t>
        </is>
      </c>
      <c r="E6" s="62" t="inlineStr">
        <is>
          <t>25ms 周期のリフレッシュのみ。周期外の落ち込みが無いこと</t>
        </is>
      </c>
      <c r="F6" s="66" t="inlineStr">
        <is>
          <t>—</t>
        </is>
      </c>
      <c r="G6" s="67" t="n"/>
      <c r="H6" s="67" t="n"/>
      <c r="I6" s="68" t="n"/>
    </row>
    <row r="7" ht="17.25" customHeight="1" s="49">
      <c r="A7" s="66" t="inlineStr">
        <is>
          <t>9-3</t>
        </is>
      </c>
      <c r="B7" s="63" t="inlineStr">
        <is>
          <t>順方向降下</t>
        </is>
      </c>
      <c r="C7" s="62" t="inlineStr">
        <is>
          <t>8A 走行時、ツイストペアで差動測定</t>
        </is>
      </c>
      <c r="D7" s="62" t="inlineStr">
        <is>
          <t>TP13 − TP4</t>
        </is>
      </c>
      <c r="E7" s="62" t="inlineStr">
        <is>
          <t>17mV 前後</t>
        </is>
      </c>
      <c r="F7" s="66" t="inlineStr">
        <is>
          <t>mV</t>
        </is>
      </c>
      <c r="G7" s="67" t="n"/>
      <c r="H7" s="67" t="n"/>
      <c r="I7" s="68" t="n"/>
    </row>
    <row r="8" ht="31.5" customHeight="1" s="49">
      <c r="A8" s="66" t="inlineStr">
        <is>
          <t>9-4</t>
        </is>
      </c>
      <c r="B8" s="63" t="inlineStr">
        <is>
          <t>遮断時の Vout</t>
        </is>
      </c>
      <c r="C8" s="63" t="inlineStr">
        <is>
          <t>走行中にスイッチ OFF</t>
        </is>
      </c>
      <c r="D8" s="62" t="inlineStr">
        <is>
          <t>TP10 / TP19</t>
        </is>
      </c>
      <c r="E8" s="63" t="inlineStr">
        <is>
          <t>負に振れないこと（C7 が支える）</t>
        </is>
      </c>
      <c r="F8" s="66" t="inlineStr">
        <is>
          <t>V</t>
        </is>
      </c>
      <c r="G8" s="67" t="n"/>
      <c r="H8" s="67" t="n"/>
      <c r="I8" s="68" t="n"/>
    </row>
    <row r="9" ht="31.5" customHeight="1" s="49">
      <c r="A9" s="66" t="inlineStr">
        <is>
          <t>9-5</t>
        </is>
      </c>
      <c r="B9" s="63" t="inlineStr">
        <is>
          <t>給電パックの判別</t>
        </is>
      </c>
      <c r="C9" s="63" t="inlineStr">
        <is>
          <t>走行中</t>
        </is>
      </c>
      <c r="D9" s="62" t="inlineStr">
        <is>
          <t>TP13 / TP14</t>
        </is>
      </c>
      <c r="E9" s="63" t="inlineStr">
        <is>
          <t>電圧の高い側から給電されること</t>
        </is>
      </c>
      <c r="F9" s="66" t="inlineStr">
        <is>
          <t>V</t>
        </is>
      </c>
      <c r="G9" s="67" t="n"/>
      <c r="H9" s="67" t="n"/>
      <c r="I9" s="68" t="n"/>
    </row>
    <row r="10" ht="46.5" customHeight="1" s="49">
      <c r="A10" s="66" t="inlineStr">
        <is>
          <t>9-6</t>
        </is>
      </c>
      <c r="B10" s="63" t="inlineStr">
        <is>
          <t>回生プロファイル</t>
        </is>
      </c>
      <c r="C10" s="63" t="inlineStr">
        <is>
          <t>制動時、Ch1 = TP21（GND:TP12）、Ch2 = TP10</t>
        </is>
      </c>
      <c r="D10" s="62" t="inlineStr">
        <is>
          <t>TP21 / TP12</t>
        </is>
      </c>
      <c r="E10" s="63" t="inlineStr">
        <is>
          <t>導通時間とデューティを記録。R11 の最終値と #6 の閾値の判断材料</t>
        </is>
      </c>
      <c r="F10" s="66" t="inlineStr">
        <is>
          <t>ms</t>
        </is>
      </c>
      <c r="G10" s="67" t="n"/>
      <c r="H10" s="67" t="n"/>
      <c r="I10" s="68" t="n"/>
    </row>
    <row r="11" ht="46.5" customHeight="1" s="49">
      <c r="A11" s="66" t="inlineStr">
        <is>
          <t>9-7</t>
        </is>
      </c>
      <c r="B11" s="63" t="inlineStr">
        <is>
          <t>制動時の最大 Vout</t>
        </is>
      </c>
      <c r="C11" s="63" t="inlineStr">
        <is>
          <t>同時観測</t>
        </is>
      </c>
      <c r="D11" s="62" t="inlineStr">
        <is>
          <t>TP10 / TP19</t>
        </is>
      </c>
      <c r="E11" s="62" t="inlineStr">
        <is>
          <t>34.0V（OVP）に達しないこと。余裕があれば R11 を 330Ω / 470Ω に上げられる</t>
        </is>
      </c>
      <c r="F11" s="66" t="inlineStr">
        <is>
          <t>V</t>
        </is>
      </c>
      <c r="G11" s="67" t="n"/>
      <c r="H11" s="67" t="n"/>
      <c r="I11" s="68" t="n"/>
    </row>
    <row r="12" ht="60.75" customHeight="1" s="49">
      <c r="A12" s="66" t="inlineStr">
        <is>
          <t>9-8</t>
        </is>
      </c>
      <c r="B12" s="62" t="inlineStr">
        <is>
          <t>Vout 経路の電圧降下</t>
        </is>
      </c>
      <c r="C12" s="62" t="inlineStr">
        <is>
          <t>8A 走行時と 25A ストール時、差動測定</t>
        </is>
      </c>
      <c r="D12" s="62" t="inlineStr">
        <is>
          <t>TP10 − J3 の + 端子</t>
        </is>
      </c>
      <c r="E12" s="62" t="inlineStr">
        <is>
          <t>8A / 25A の期待値は ★要再解析。★ 2026-10-14 以降に R70（0.5mΩ / 2512）が Q3 ソースと /Vout の間に挿入され、Vout ベタが切り欠かれたため旧値 1.024mΩ（8A で 8.2mV、25A で 25.6mV）は使えない。なお TP10 は R70 の下流なので本測定に R70 の 0.5mΩ は含まれない</t>
        </is>
      </c>
      <c r="F12" s="66" t="inlineStr">
        <is>
          <t>mV</t>
        </is>
      </c>
      <c r="G12" s="67" t="n"/>
      <c r="H12" s="67" t="n"/>
      <c r="I12" s="68" t="n"/>
    </row>
    <row r="13" ht="60.75" customHeight="1" s="49">
      <c r="A13" s="66" t="inlineStr">
        <is>
          <t>9-9</t>
        </is>
      </c>
      <c r="B13" s="62" t="inlineStr">
        <is>
          <t>GND 経路の電圧降下</t>
        </is>
      </c>
      <c r="C13" s="63" t="inlineStr">
        <is>
          <t>同上</t>
        </is>
      </c>
      <c r="D13" s="62" t="inlineStr">
        <is>
          <t>TP19 − J1 / J2 の − 端子</t>
        </is>
      </c>
      <c r="E13" s="62" t="inlineStr">
        <is>
          <t>8A で 7.8mV、25A で 24.4mV（実測検証 0.975mΩ、2 パック）。単一パックでは 1.398mΩ → 35mV</t>
        </is>
      </c>
      <c r="F13" s="66" t="inlineStr">
        <is>
          <t>mV</t>
        </is>
      </c>
      <c r="G13" s="67" t="n"/>
      <c r="H13" s="67" t="n"/>
      <c r="I13" s="68" t="n"/>
    </row>
    <row r="14" ht="31.5" customHeight="1" s="49">
      <c r="A14" s="66" t="inlineStr">
        <is>
          <t>9-10</t>
        </is>
      </c>
      <c r="B14" s="62" t="inlineStr">
        <is>
          <t>VBUS_SENSE の走行時精度</t>
        </is>
      </c>
      <c r="C14" s="63" t="inlineStr">
        <is>
          <t>走行中、SWD で ADC 値を読み TP4 の実測と比較</t>
        </is>
      </c>
      <c r="D14" s="62" t="inlineStr">
        <is>
          <t>TP4 / IC6.8</t>
        </is>
      </c>
      <c r="E14" s="63" t="inlineStr">
        <is>
          <t>誤差 ±2% 以内。リプルによる読み値の揺れも記録</t>
        </is>
      </c>
      <c r="F14" s="66" t="inlineStr">
        <is>
          <t>V</t>
        </is>
      </c>
      <c r="G14" s="67" t="n"/>
      <c r="H14" s="67" t="n"/>
      <c r="I14" s="68" t="n"/>
    </row>
    <row r="15" ht="46.5" customHeight="1" s="49">
      <c r="A15" s="66" t="inlineStr">
        <is>
          <t>9-11</t>
        </is>
      </c>
      <c r="B15" s="62" t="inlineStr">
        <is>
          <t>VOUT_SENSE の走行時精度</t>
        </is>
      </c>
      <c r="C15" s="63" t="inlineStr">
        <is>
          <t>同上</t>
        </is>
      </c>
      <c r="D15" s="62" t="inlineStr">
        <is>
          <t>TP10 / IC6.9</t>
        </is>
      </c>
      <c r="E15" s="63" t="inlineStr">
        <is>
          <t>同上。★ C34 は 1nF なので #13 の 2ms 検出に間に合う時定数</t>
        </is>
      </c>
      <c r="F15" s="66" t="inlineStr">
        <is>
          <t>V</t>
        </is>
      </c>
      <c r="G15" s="67" t="n"/>
      <c r="H15" s="67" t="n"/>
      <c r="I15" s="68" t="n"/>
    </row>
    <row r="16" ht="46.5" customHeight="1" s="49">
      <c r="A16" s="66" t="inlineStr">
        <is>
          <t>9-12</t>
        </is>
      </c>
      <c r="B16" s="63" t="inlineStr">
        <is>
          <t>チョッパ ON 積算の実測</t>
        </is>
      </c>
      <c r="C16" s="62" t="inlineStr">
        <is>
          <t>9-6 の制動を数回繰り返し、SWD で積算値を読む</t>
        </is>
      </c>
      <c r="D16" s="62" t="inlineStr">
        <is>
          <t>SWD</t>
        </is>
      </c>
      <c r="E16" s="62" t="inlineStr">
        <is>
          <t>#6 の閾値を決めるための記録。制動 1 回あたりの積算増分を記録する</t>
        </is>
      </c>
      <c r="F16" s="66" t="inlineStr">
        <is>
          <t>—</t>
        </is>
      </c>
      <c r="G16" s="67" t="n"/>
      <c r="H16" s="67" t="n"/>
      <c r="I16" s="68" t="n"/>
    </row>
    <row r="17">
      <c r="A17" t="inlineStr">
        <is>
          <t>9-13</t>
        </is>
      </c>
      <c r="B17" t="inlineStr">
        <is>
          <t>I_SENSE の確認</t>
        </is>
      </c>
      <c r="C17" t="inlineStr">
        <is>
          <t>8A 走行時と 25A ストール時、DMM またはオシロ</t>
        </is>
      </c>
      <c r="D17" t="inlineStr">
        <is>
          <t>J7 pin1 − J7 pin2</t>
        </is>
      </c>
      <c r="E17" t="inlineStr">
        <is>
          <t>25mV/A（R70 0.5mΩ × U3 INA240A2 ゲイン 50V/V）。8A で 0.200V、25A で 0.625V、30A で 0.750V。R77 1kΩ ＋ C67 1µF で fc 159Hz</t>
        </is>
      </c>
      <c r="F17" t="inlineStr">
        <is>
          <t>V</t>
        </is>
      </c>
    </row>
    <row r="18" ht="17.25" customHeight="1" s="49">
      <c r="A18" t="inlineStr">
        <is>
          <t>9-14</t>
        </is>
      </c>
      <c r="B18" t="inlineStr">
        <is>
          <t>IC5 バッファ出力</t>
        </is>
      </c>
      <c r="C18" t="inlineStr">
        <is>
          <t>VBUS 29.4V、差動測定</t>
        </is>
      </c>
      <c r="D18" t="inlineStr">
        <is>
          <t>J7 pin3 − J7 pin2</t>
        </is>
      </c>
      <c r="E18" t="inlineStr">
        <is>
          <t>1.601V（29.4V × 57.6kΩ ÷（1MΩ ＋ 57.6kΩ））、±3%。換算係数 18.36 V/V。R76 1kΩ ＋ C66 1µF で fc 159Hz</t>
        </is>
      </c>
      <c r="F18" t="inlineStr">
        <is>
          <t>V</t>
        </is>
      </c>
    </row>
    <row r="19" ht="17.25" customHeight="1" s="49"/>
    <row r="20" ht="31.5" customHeight="1" s="49">
      <c r="A20" s="69" t="inlineStr">
        <is>
          <t>※ 9-1 が 100mV を大きく超える場合、C5 のリプル電流定格（18kHz で約 1.06A）に対する余裕を再検討してください。</t>
        </is>
      </c>
    </row>
    <row r="21" ht="17.25" customHeight="1" s="49">
      <c r="A21" s="69" t="inlineStr">
        <is>
          <t>※ 9-2 で周期外の落ち込みがあれば、リプルによる逆流誤検出が起きています。</t>
        </is>
      </c>
    </row>
    <row r="22" ht="31.5" customHeight="1" s="49">
      <c r="A22" s="69" t="inlineStr">
        <is>
          <t>※ 9-8 / 9-9 は v3.0.0 で追加した項目です。基板図の銅箔形状から抵抗ネットワークを解いた値（Q3 ソース → J3.1 が 1.024mΩ、J3 の GND → 両パックの − 端子が 0.975mΩ）の裏取りで、実測が大きく上回る場合は銅箔ではなくコネクタのはんだ付けを疑ってください。
★ 2026-10-21 追記：R70（0.5mΩ）が Q3 ソース → /Vout に挿入されたため、Q3 ソース → J3.1 の全体は 銅箔 ＋ 0.5mΩ ≒ 1.5mΩ に増えた。TP10 は R70 の下流なので 9-8 の実測には R70 分は現れないが、ベタ形状が変わったため期待値そのものを再解析すること。</t>
        </is>
      </c>
    </row>
    <row r="23" ht="31.5" customHeight="1" s="49">
      <c r="A23" s="69" t="inlineStr">
        <is>
          <t>※ 9-9 の 30A 時の損失は 0.88W（GND 側）＋ 0.92W（Vout 側）＝ 1.8W で、基板全体に広く分散します。局所的な過熱にはなりません。
★ 2026-10-21 追記：ただし R70（0.5mΩ / 2512 / 3W）は 30A で 0.45W、25A で 0.31W を単独で負担するため、ここだけは局所的です（7-17 で確認）。</t>
        </is>
      </c>
    </row>
    <row r="24">
      <c r="A24" s="69" t="inlineStr">
        <is>
          <t>※ 9-7 で OVP に達する場合は R11 を引ききれていません。150Ω または 100Ω への変更を検討してください。200Ω は制動時間 2.5 秒以上を前提にした値です。回生エネルギーは並進 4.5J ＋ ロータ慣性 約 1.8J ＝ 約 6.3J と見積もっています（ロータ慣性は推定値）。</t>
        </is>
      </c>
    </row>
    <row r="25">
      <c r="A25" s="69" t="inlineStr">
        <is>
          <t>※ 9-12 の結果で #6 の閾値を決めます。制動 1 回の積算増分を N とすると、閾値は「連続導通を 10 秒以内に止める値」と「正常な制動を数回続けても誤発火しない値」の間に取ります。</t>
        </is>
      </c>
    </row>
  </sheetData>
  <mergeCells count="7">
    <mergeCell ref="A25:I25"/>
    <mergeCell ref="A22:I22"/>
    <mergeCell ref="A2:I2"/>
    <mergeCell ref="A23:I23"/>
    <mergeCell ref="A24:I24"/>
    <mergeCell ref="A20:I20"/>
    <mergeCell ref="A21:I21"/>
  </mergeCells>
  <dataValidations count="1">
    <dataValidation sqref="H5:H16" showDropDown="0" showInputMessage="0" showErrorMessage="0" allowBlank="1" type="list" errorStyle="stop" operator="between">
      <formula1>"OK,NG,未実施"</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I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48" min="1" max="1"/>
    <col width="20" customWidth="1" style="48" min="2" max="2"/>
    <col width="34" customWidth="1" style="48" min="3" max="3"/>
    <col width="16" customWidth="1" style="48" min="4" max="4"/>
    <col width="26" customWidth="1" style="48" min="5" max="5"/>
    <col width="7" customWidth="1" style="48" min="6" max="6"/>
    <col width="12" customWidth="1" style="48" min="7" max="7"/>
    <col width="9" customWidth="1" style="48" min="8" max="8"/>
    <col width="26" customWidth="1" style="48" min="9" max="9"/>
  </cols>
  <sheetData>
    <row r="1" ht="21" customHeight="1" s="49">
      <c r="A1" s="50" t="inlineStr">
        <is>
          <t>10_GND 分離</t>
        </is>
      </c>
    </row>
    <row r="2" ht="27.75" customHeight="1" s="49">
      <c r="A2" s="72" t="inlineStr">
        <is>
          <t>C5（VBUS 側バルクコンデンサ）のマイナス端子での一点接続が機能しているかの検証。v3.0.0 では ADC の基準電位がここに乗るため、v2.1.1 より重要度が上がっています。</t>
        </is>
      </c>
    </row>
    <row r="3"/>
    <row r="4" ht="30" customHeight="1" s="49">
      <c r="A4" s="65" t="inlineStr">
        <is>
          <t>No.</t>
        </is>
      </c>
      <c r="B4" s="61" t="inlineStr">
        <is>
          <t>項目</t>
        </is>
      </c>
      <c r="C4" s="61" t="inlineStr">
        <is>
          <t>手順・条件</t>
        </is>
      </c>
      <c r="D4" s="61" t="inlineStr">
        <is>
          <t>測定点</t>
        </is>
      </c>
      <c r="E4" s="61" t="inlineStr">
        <is>
          <t>設計値・判定基準</t>
        </is>
      </c>
      <c r="F4" s="61" t="inlineStr">
        <is>
          <t>単位</t>
        </is>
      </c>
      <c r="G4" s="61" t="inlineStr">
        <is>
          <t>実測値</t>
        </is>
      </c>
      <c r="H4" s="61" t="inlineStr">
        <is>
          <t>判定</t>
        </is>
      </c>
      <c r="I4" s="61" t="inlineStr">
        <is>
          <t>備考</t>
        </is>
      </c>
    </row>
    <row r="5" ht="17.25" customHeight="1" s="49">
      <c r="A5" s="66" t="inlineStr">
        <is>
          <t>10-1</t>
        </is>
      </c>
      <c r="B5" s="63" t="inlineStr">
        <is>
          <t>制御GND−大電流GND</t>
        </is>
      </c>
      <c r="C5" s="63" t="inlineStr">
        <is>
          <t>チョッパ動作中、差動測定</t>
        </is>
      </c>
      <c r="D5" s="62" t="inlineStr">
        <is>
          <t>TP3 − TP12</t>
        </is>
      </c>
      <c r="E5" s="63" t="inlineStr">
        <is>
          <t>数十 mV 以内</t>
        </is>
      </c>
      <c r="F5" s="66" t="inlineStr">
        <is>
          <t>mV</t>
        </is>
      </c>
      <c r="G5" s="67" t="n"/>
      <c r="H5" s="67" t="n"/>
      <c r="I5" s="68" t="n"/>
    </row>
    <row r="6" ht="31.5" customHeight="1" s="49">
      <c r="A6" s="66" t="inlineStr">
        <is>
          <t>10-2</t>
        </is>
      </c>
      <c r="B6" s="63" t="inlineStr">
        <is>
          <t>同上（通常走行時）</t>
        </is>
      </c>
      <c r="C6" s="62" t="inlineStr">
        <is>
          <t>8A 走行中</t>
        </is>
      </c>
      <c r="D6" s="62" t="inlineStr">
        <is>
          <t>TP3 − TP12</t>
        </is>
      </c>
      <c r="E6" s="62" t="inlineStr">
        <is>
          <t>7.8mV 以下（経路全体の抵抗 0.975mΩ × 8A が原理上の上限）</t>
        </is>
      </c>
      <c r="F6" s="66" t="inlineStr">
        <is>
          <t>mV</t>
        </is>
      </c>
      <c r="G6" s="67" t="n"/>
      <c r="H6" s="67" t="n"/>
      <c r="I6" s="68" t="n"/>
    </row>
    <row r="7" ht="31.5" customHeight="1" s="49">
      <c r="A7" s="66" t="inlineStr">
        <is>
          <t>10-3</t>
        </is>
      </c>
      <c r="B7" s="63" t="inlineStr">
        <is>
          <t>同上（ストール時）</t>
        </is>
      </c>
      <c r="C7" s="62" t="inlineStr">
        <is>
          <t>25A ストール中</t>
        </is>
      </c>
      <c r="D7" s="62" t="inlineStr">
        <is>
          <t>TP3 − TP12</t>
        </is>
      </c>
      <c r="E7" s="62" t="inlineStr">
        <is>
          <t>24.4mV 以下（同 × 25A）。単一パック運転では 35mV 以下</t>
        </is>
      </c>
      <c r="F7" s="66" t="inlineStr">
        <is>
          <t>mV</t>
        </is>
      </c>
      <c r="G7" s="67" t="n"/>
      <c r="H7" s="67" t="n"/>
      <c r="I7" s="68" t="n"/>
    </row>
    <row r="8" ht="31.5" customHeight="1" s="49">
      <c r="A8" s="66" t="inlineStr">
        <is>
          <t>10-4</t>
        </is>
      </c>
      <c r="B8" s="62" t="inlineStr">
        <is>
          <t>DC 島の等電位性</t>
        </is>
      </c>
      <c r="C8" s="62" t="inlineStr">
        <is>
          <t>25A ストール中、差動測定</t>
        </is>
      </c>
      <c r="D8" s="62" t="inlineStr">
        <is>
          <t>TP2 / TP3 / TP17 / TP32 の相互</t>
        </is>
      </c>
      <c r="E8" s="63" t="inlineStr">
        <is>
          <t>相互に 1mV 以内。DC 島には大電流が流れないため</t>
        </is>
      </c>
      <c r="F8" s="66" t="inlineStr">
        <is>
          <t>mV</t>
        </is>
      </c>
      <c r="G8" s="67" t="n"/>
      <c r="H8" s="67" t="n"/>
      <c r="I8" s="68" t="n"/>
    </row>
    <row r="9" ht="60.75" customHeight="1" s="49">
      <c r="A9" s="66" t="inlineStr">
        <is>
          <t>10-5</t>
        </is>
      </c>
      <c r="B9" s="62" t="inlineStr">
        <is>
          <t>AC 島の内部降下</t>
        </is>
      </c>
      <c r="C9" s="63" t="inlineStr">
        <is>
          <t>同上</t>
        </is>
      </c>
      <c r="D9" s="62" t="inlineStr">
        <is>
          <t>TP1 / TP12 / TP18 / TP19 の相互</t>
        </is>
      </c>
      <c r="E9" s="63" t="inlineStr">
        <is>
          <t>数 mV〜数十 mV。島内の IR ドロップそのものなので、値の大小ではなく 10-4 との差が判定対象</t>
        </is>
      </c>
      <c r="F9" s="66" t="inlineStr">
        <is>
          <t>mV</t>
        </is>
      </c>
      <c r="G9" s="67" t="n"/>
      <c r="H9" s="67" t="n"/>
      <c r="I9" s="68" t="n"/>
    </row>
    <row r="10" ht="75" customHeight="1" s="49">
      <c r="A10" s="66" t="inlineStr">
        <is>
          <t>10-6</t>
        </is>
      </c>
      <c r="B10" s="63" t="inlineStr">
        <is>
          <t>一点接続の位置確認</t>
        </is>
      </c>
      <c r="C10" s="63" t="inlineStr">
        <is>
          <t>無通電、目視と導通</t>
        </is>
      </c>
      <c r="D10" s="62" t="inlineStr">
        <is>
          <t>C5 の GND パッド</t>
        </is>
      </c>
      <c r="E10" s="62" t="inlineStr">
        <is>
          <t>C5 の GND パッド直下に 0.3〜0.5mm ビアが 8 本あり、それが唯一のブリッジであること。設計解析では確認済み（記録のみ）</t>
        </is>
      </c>
      <c r="F10" s="66" t="inlineStr">
        <is>
          <t>—</t>
        </is>
      </c>
      <c r="G10" s="67" t="n"/>
      <c r="H10" s="67" t="n"/>
      <c r="I10" s="68" t="n"/>
    </row>
    <row r="11" ht="46.5" customHeight="1" s="49">
      <c r="A11" s="66" t="inlineStr">
        <is>
          <t>10-7</t>
        </is>
      </c>
      <c r="B11" s="62" t="inlineStr">
        <is>
          <t>ADC の基準電位の健全性</t>
        </is>
      </c>
      <c r="C11" s="62" t="inlineStr">
        <is>
          <t>25A ストール中、SWD で TH1_SENSE の ADC 値を読む</t>
        </is>
      </c>
      <c r="D11" s="62" t="inlineStr">
        <is>
          <t>IC6.7 / TP26</t>
        </is>
      </c>
      <c r="E11" s="63" t="inlineStr">
        <is>
          <t>無負荷時（7-4）と同じ温度を示すこと。10mV 以上ずれるなら GND 分離が効いていない</t>
        </is>
      </c>
      <c r="F11" s="66" t="inlineStr">
        <is>
          <t>℃</t>
        </is>
      </c>
      <c r="G11" s="67" t="n"/>
      <c r="H11" s="67" t="n"/>
      <c r="I11" s="68" t="n"/>
    </row>
    <row r="12">
      <c r="A12" s="66" t="inlineStr">
        <is>
          <t>10-8</t>
        </is>
      </c>
      <c r="B12" s="62" t="inlineStr">
        <is>
          <t>アナログ島の等電位性</t>
        </is>
      </c>
      <c r="C12" s="62" t="inlineStr">
        <is>
          <t>25A ストール中、差動測定</t>
        </is>
      </c>
      <c r="D12" s="62" t="inlineStr">
        <is>
          <t>J7 pin2 − TP32</t>
        </is>
      </c>
      <c r="E12" s="63" t="inlineStr">
        <is>
          <t>1mV 以内。超えるならネットタイ NT1 以外の経路で ANALOG_SENSE_GND が GND に繋がっている</t>
        </is>
      </c>
      <c r="F12" s="66" t="inlineStr">
        <is>
          <t>mV</t>
        </is>
      </c>
      <c r="G12" s="67" t="n"/>
      <c r="H12" s="67" t="n"/>
      <c r="I12" s="68" t="n"/>
    </row>
    <row r="13" ht="17.25" customHeight="1" s="49"/>
    <row r="14" ht="31.5" customHeight="1" s="49">
      <c r="A14" s="78" t="inlineStr">
        <is>
          <t>GND テストポイントと島の対応（v3.0.0 基板図から確認）</t>
        </is>
      </c>
    </row>
    <row r="15" ht="31.5" customHeight="1" s="49">
      <c r="A15" s="75" t="inlineStr">
        <is>
          <t>テストポイント</t>
        </is>
      </c>
      <c r="B15" s="75" t="inlineStr">
        <is>
          <t>ネット</t>
        </is>
      </c>
      <c r="C15" s="75" t="inlineStr">
        <is>
          <t>島</t>
        </is>
      </c>
      <c r="D15" s="75" t="inlineStr">
        <is>
          <t>座標 (mm)</t>
        </is>
      </c>
      <c r="E15" s="75" t="inlineStr">
        <is>
          <t>用途</t>
        </is>
      </c>
    </row>
    <row r="16" ht="31.5" customHeight="1" s="49">
      <c r="A16" s="62" t="inlineStr">
        <is>
          <t>TP2</t>
        </is>
      </c>
      <c r="B16" s="62" t="inlineStr">
        <is>
          <t>GND</t>
        </is>
      </c>
      <c r="C16" s="62" t="inlineStr">
        <is>
          <t>DC 島</t>
        </is>
      </c>
      <c r="D16" s="62" t="inlineStr">
        <is>
          <t>(117.84, 81.79)</t>
        </is>
      </c>
      <c r="E16" s="62" t="inlineStr">
        <is>
          <t>EN / TIMER 測定の基準（IC3 の GND 側）</t>
        </is>
      </c>
    </row>
    <row r="17" ht="17.25" customHeight="1" s="49">
      <c r="A17" s="62" t="inlineStr">
        <is>
          <t>TP3</t>
        </is>
      </c>
      <c r="B17" s="62" t="inlineStr">
        <is>
          <t>GND</t>
        </is>
      </c>
      <c r="C17" s="62" t="inlineStr">
        <is>
          <t>DC 島</t>
        </is>
      </c>
      <c r="D17" s="62" t="inlineStr">
        <is>
          <t>(109.64, 46.34)</t>
        </is>
      </c>
      <c r="E17" s="63" t="inlineStr">
        <is>
          <t>チョッパ制御系の基準。10-1〜10-3 の DC 側</t>
        </is>
      </c>
    </row>
    <row r="18" ht="31.5" customHeight="1" s="49">
      <c r="A18" s="62" t="inlineStr">
        <is>
          <t>TP17</t>
        </is>
      </c>
      <c r="B18" s="62" t="inlineStr">
        <is>
          <t>GND</t>
        </is>
      </c>
      <c r="C18" s="62" t="inlineStr">
        <is>
          <t>DC 島</t>
        </is>
      </c>
      <c r="D18" s="62" t="inlineStr">
        <is>
          <t>(104.83, 116.49)</t>
        </is>
      </c>
      <c r="E18" s="62" t="inlineStr">
        <is>
          <t>VBUS 測定の基準</t>
        </is>
      </c>
    </row>
    <row r="19" ht="17.25" customHeight="1" s="49">
      <c r="A19" s="62" t="inlineStr">
        <is>
          <t>TP32</t>
        </is>
      </c>
      <c r="B19" s="62" t="inlineStr">
        <is>
          <t>GND</t>
        </is>
      </c>
      <c r="C19" s="62" t="inlineStr">
        <is>
          <t>DC 島</t>
        </is>
      </c>
      <c r="D19" s="62" t="inlineStr">
        <is>
          <t>(104.80, 92.84)</t>
        </is>
      </c>
      <c r="E19" s="62" t="inlineStr">
        <is>
          <t>3.3V / MCU 系の基準。v3.0.0 で追加</t>
        </is>
      </c>
    </row>
    <row r="20" ht="31.5" customHeight="1" s="49">
      <c r="A20" s="62" t="inlineStr">
        <is>
          <t>TP1</t>
        </is>
      </c>
      <c r="B20" s="62" t="inlineStr">
        <is>
          <t>GND</t>
        </is>
      </c>
      <c r="C20" s="62" t="inlineStr">
        <is>
          <t>AC 島</t>
        </is>
      </c>
      <c r="D20" s="62" t="inlineStr">
        <is>
          <t>(142.18, 140.47)</t>
        </is>
      </c>
      <c r="E20" s="62" t="inlineStr">
        <is>
          <t>J1 / J2 側</t>
        </is>
      </c>
    </row>
    <row r="21" ht="17.25" customHeight="1" s="49">
      <c r="A21" s="62" t="inlineStr">
        <is>
          <t>TP12</t>
        </is>
      </c>
      <c r="B21" s="62" t="inlineStr">
        <is>
          <t>GND</t>
        </is>
      </c>
      <c r="C21" s="62" t="inlineStr">
        <is>
          <t>AC 島</t>
        </is>
      </c>
      <c r="D21" s="62" t="inlineStr">
        <is>
          <t>(175.20, 48.94)</t>
        </is>
      </c>
      <c r="E21" s="63" t="inlineStr">
        <is>
          <t>チョッパ負荷側。10-1〜10-3 の AC 側</t>
        </is>
      </c>
    </row>
    <row r="22" ht="17.25" customHeight="1" s="49">
      <c r="A22" s="62" t="inlineStr">
        <is>
          <t>TP18</t>
        </is>
      </c>
      <c r="B22" s="62" t="inlineStr">
        <is>
          <t>GND</t>
        </is>
      </c>
      <c r="C22" s="62" t="inlineStr">
        <is>
          <t>AC 島（裏面のみ）</t>
        </is>
      </c>
      <c r="D22" s="62" t="inlineStr">
        <is>
          <t>(131.71, 82.64)</t>
        </is>
      </c>
      <c r="E22" s="63" t="inlineStr">
        <is>
          <t>ゲート波形（TP5）の基準</t>
        </is>
      </c>
    </row>
    <row r="23">
      <c r="A23" s="62" t="inlineStr">
        <is>
          <t>TP19</t>
        </is>
      </c>
      <c r="B23" s="62" t="inlineStr">
        <is>
          <t>GND</t>
        </is>
      </c>
      <c r="C23" s="62" t="inlineStr">
        <is>
          <t>AC 島</t>
        </is>
      </c>
      <c r="D23" s="62" t="inlineStr">
        <is>
          <t>(168.34, 66.29)</t>
        </is>
      </c>
      <c r="E23" s="62" t="inlineStr">
        <is>
          <t>Vout 測定の基準</t>
        </is>
      </c>
    </row>
    <row r="24" ht="31.5" customHeight="1" s="49">
      <c r="A24" s="62" t="inlineStr">
        <is>
          <t>（TP なし）</t>
        </is>
      </c>
      <c r="B24" s="62" t="inlineStr">
        <is>
          <t>ANALOG_SENSE_GND</t>
        </is>
      </c>
      <c r="C24" s="62" t="inlineStr">
        <is>
          <t>アナログ島</t>
        </is>
      </c>
      <c r="D24" s="62" t="inlineStr">
        <is>
          <t>NT1 = (178.66, 69.55)</t>
        </is>
      </c>
      <c r="E24" s="62" t="inlineStr">
        <is>
          <t>U3 / IC5 / R72 / C65〜C68 / J7 pin2 の基準。ネットタイ NT1 一点で GND に接続。★ 2026-10-21 追加。TP が無いので J7 pin2 で測る</t>
        </is>
      </c>
    </row>
    <row r="25" ht="31.5" customHeight="1" s="49"/>
    <row r="26" ht="31.5" customHeight="1" s="49">
      <c r="A26" s="70" t="inlineStr">
        <is>
          <t>※ 上表は .kicad_pcb のゾーン塗りつぶしをラスタライズし、連結成分解析で確認したものです。10-1〜10-3 の「DC 島 − AC 島」を測るには DC 側から 1 点、AC 側から 1 点を選びます。v2.1.1 の TP3 − TP12 の組み合わせはそのまま有効です。
★ 2026-10-21 追記：2026-10-14 以降に R70 と ANALOG_SENSE_GND 島（NT1）が追加され、TP3 / TP18 / TP19 が移動したため、ゾーンの連結成分解析は現基板で再実行すること。TP18 の「裏面のみ」も再確認が必要。</t>
        </is>
      </c>
    </row>
    <row r="27" ht="31.5" customHeight="1" s="49">
      <c r="A27" s="69" t="inlineStr">
        <is>
          <t>※ 10-2 / 10-3 の上限値は「J3 の GND から両パックの − 端子までの経路全体の抵抗が 0.975mΩ（2 パック）／1.398mΩ（単一パック）」という解析結果から導いた原理上の上限です。TP3 − TP12 はその経路の一部しか見ないため、実測はこれより小さくなるのが正常です。超える場合は一点接続以外の経路（2 つ目のブリッジ）が存在します。</t>
        </is>
      </c>
    </row>
    <row r="28" ht="17.25" customHeight="1" s="49">
      <c r="A28" s="69" t="inlineStr">
        <is>
          <t>※ 10-4 が 1mV を超える場合、DC 島に大電流経路が混入しています。設計仕様書 7_レイアウト指示 の「DC 島に置く部品」一覧を確認し、AC ベタに GND を落としている部品がないか探してください。1 つでも落ちていると分割が無効になります。</t>
        </is>
      </c>
    </row>
    <row r="29">
      <c r="A29" s="69" t="inlineStr">
        <is>
          <t>※ 10-7 は v3.0.0 で追加した最も実務的な項目です。GND 分離の目的は「ADC の基準電位を大電流の IR ドロップから切り離すこと」なので、分離が効いているかは最終的に ADC の読みで判定します。</t>
        </is>
      </c>
    </row>
    <row r="30">
      <c r="A30" s="70" t="inlineStr">
        <is>
          <t>※ 想定を超える場合、GND の引き回しを見直してください。次版での改善項目になります。</t>
        </is>
      </c>
    </row>
  </sheetData>
  <mergeCells count="7">
    <mergeCell ref="A29:I29"/>
    <mergeCell ref="A2:I2"/>
    <mergeCell ref="A28:I28"/>
    <mergeCell ref="A14:I14"/>
    <mergeCell ref="A27:I27"/>
    <mergeCell ref="A26:I26"/>
    <mergeCell ref="A30:I30"/>
  </mergeCells>
  <dataValidations count="1">
    <dataValidation sqref="H5:H11" showDropDown="0" showInputMessage="0" showErrorMessage="0" allowBlank="1" type="list" errorStyle="stop" operator="between">
      <formula1>"OK,NG,未実施"</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I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48" min="1" max="1"/>
    <col width="20" customWidth="1" style="48" min="2" max="2"/>
    <col width="34" customWidth="1" style="48" min="3" max="3"/>
    <col width="16" customWidth="1" style="48" min="4" max="4"/>
    <col width="26" customWidth="1" style="48" min="5" max="5"/>
    <col width="7" customWidth="1" style="48" min="6" max="6"/>
    <col width="12" customWidth="1" style="48" min="7" max="7"/>
    <col width="9" customWidth="1" style="48" min="8" max="8"/>
    <col width="26" customWidth="1" style="48" min="9" max="9"/>
  </cols>
  <sheetData>
    <row r="1" ht="21" customHeight="1" s="49">
      <c r="A1" s="50" t="inlineStr">
        <is>
          <t>11_外部スイッチ・LED</t>
        </is>
      </c>
    </row>
    <row r="2" ht="27.75" customHeight="1" s="49">
      <c r="A2" s="72" t="inlineStr">
        <is>
          <t>LED 付き非常停止スイッチ（5 ピン、1NO1NC）と F3（PPTC）の確認。ハーネスは v2.1.1 のまま流用できますが、pin3 / pin4 が繋がるネットが 3.3V 系ロジックに変わりました。</t>
        </is>
      </c>
    </row>
    <row r="4" ht="30" customHeight="1" s="49">
      <c r="A4" s="65" t="inlineStr">
        <is>
          <t>No.</t>
        </is>
      </c>
      <c r="B4" s="61" t="inlineStr">
        <is>
          <t>項目</t>
        </is>
      </c>
      <c r="C4" s="61" t="inlineStr">
        <is>
          <t>手順・条件</t>
        </is>
      </c>
      <c r="D4" s="61" t="inlineStr">
        <is>
          <t>測定点</t>
        </is>
      </c>
      <c r="E4" s="61" t="inlineStr">
        <is>
          <t>設計値・判定基準</t>
        </is>
      </c>
      <c r="F4" s="61" t="inlineStr">
        <is>
          <t>単位</t>
        </is>
      </c>
      <c r="G4" s="61" t="inlineStr">
        <is>
          <t>実測値</t>
        </is>
      </c>
      <c r="H4" s="61" t="inlineStr">
        <is>
          <t>判定</t>
        </is>
      </c>
      <c r="I4" s="61" t="inlineStr">
        <is>
          <t>備考</t>
        </is>
      </c>
    </row>
    <row r="5" ht="17.25" customHeight="1" s="49">
      <c r="A5" s="66" t="inlineStr">
        <is>
          <t>11-1</t>
        </is>
      </c>
      <c r="B5" s="63" t="inlineStr">
        <is>
          <t>非常停止の遮断</t>
        </is>
      </c>
      <c r="C5" s="63" t="inlineStr">
        <is>
          <t>ボタンを押す</t>
        </is>
      </c>
      <c r="D5" s="62" t="inlineStr">
        <is>
          <t>TP10 / TP19</t>
        </is>
      </c>
      <c r="E5" s="62" t="inlineStr">
        <is>
          <t>Vout が 0V になること</t>
        </is>
      </c>
      <c r="F5" s="66" t="inlineStr">
        <is>
          <t>V</t>
        </is>
      </c>
      <c r="G5" s="67" t="n"/>
      <c r="H5" s="67" t="n"/>
      <c r="I5" s="68" t="n"/>
    </row>
    <row r="6" ht="17.25" customHeight="1" s="49">
      <c r="A6" s="66" t="inlineStr">
        <is>
          <t>11-2</t>
        </is>
      </c>
      <c r="B6" s="63" t="inlineStr">
        <is>
          <t>復帰</t>
        </is>
      </c>
      <c r="C6" s="63" t="inlineStr">
        <is>
          <t>ひねって解除</t>
        </is>
      </c>
      <c r="D6" s="62" t="inlineStr">
        <is>
          <t>TP10 / TP19</t>
        </is>
      </c>
      <c r="E6" s="62" t="inlineStr">
        <is>
          <t>Vout が復帰すること</t>
        </is>
      </c>
      <c r="F6" s="66" t="inlineStr">
        <is>
          <t>V</t>
        </is>
      </c>
      <c r="G6" s="67" t="n"/>
      <c r="H6" s="67" t="n"/>
      <c r="I6" s="68" t="n"/>
    </row>
    <row r="7" ht="17.25" customHeight="1" s="49">
      <c r="A7" s="66" t="inlineStr">
        <is>
          <t>11-3</t>
        </is>
      </c>
      <c r="B7" s="63" t="inlineStr">
        <is>
          <t>接点の導通抵抗</t>
        </is>
      </c>
      <c r="C7" s="63" t="inlineStr">
        <is>
          <t>無通電、スイッチ解除状態</t>
        </is>
      </c>
      <c r="D7" s="62" t="inlineStr">
        <is>
          <t>J4 pin3 − pin4</t>
        </is>
      </c>
      <c r="E7" s="62" t="inlineStr">
        <is>
          <t>1Ω 以下</t>
        </is>
      </c>
      <c r="F7" s="66" t="inlineStr">
        <is>
          <t>Ω</t>
        </is>
      </c>
      <c r="G7" s="67" t="n"/>
      <c r="H7" s="67" t="n"/>
      <c r="I7" s="68" t="n"/>
    </row>
    <row r="8" ht="46.5" customHeight="1" s="49">
      <c r="A8" s="66" t="inlineStr">
        <is>
          <t>11-4</t>
        </is>
      </c>
      <c r="B8" s="63" t="inlineStr">
        <is>
          <t>接点電流</t>
        </is>
      </c>
      <c r="C8" s="63" t="inlineStr">
        <is>
          <t>運転中</t>
        </is>
      </c>
      <c r="D8" s="62" t="inlineStr">
        <is>
          <t>J4 pin3 − pin4</t>
        </is>
      </c>
      <c r="E8" s="62" t="inlineStr">
        <is>
          <t>1.22mA（2.68V ÷ 2.2kΩ）。接点の酸化皮膜対策として 1mA 以上を確保している</t>
        </is>
      </c>
      <c r="F8" s="66" t="inlineStr">
        <is>
          <t>mA</t>
        </is>
      </c>
      <c r="G8" s="67" t="n"/>
      <c r="H8" s="67" t="n"/>
      <c r="I8" s="68" t="n"/>
    </row>
    <row r="9" ht="31.5" customHeight="1" s="49">
      <c r="A9" s="66" t="inlineStr">
        <is>
          <t>11-5</t>
        </is>
      </c>
      <c r="B9" s="62" t="inlineStr">
        <is>
          <t>LED 電流（34V）</t>
        </is>
      </c>
      <c r="C9" s="62" t="inlineStr">
        <is>
          <t>Vout を 34V に設定し、J4 pin1 の電流を測定</t>
        </is>
      </c>
      <c r="D9" s="62" t="inlineStr">
        <is>
          <t>J4 pin1</t>
        </is>
      </c>
      <c r="E9" s="62" t="inlineStr">
        <is>
          <t>40mA 以下が望ましい</t>
        </is>
      </c>
      <c r="F9" s="66" t="inlineStr">
        <is>
          <t>mA</t>
        </is>
      </c>
      <c r="G9" s="67" t="n"/>
      <c r="H9" s="67" t="n"/>
      <c r="I9" s="68" t="n"/>
    </row>
    <row r="10" ht="17.25" customHeight="1" s="49">
      <c r="A10" s="66" t="inlineStr">
        <is>
          <t>11-6</t>
        </is>
      </c>
      <c r="B10" s="62" t="inlineStr">
        <is>
          <t>LED 電流（19.5V）</t>
        </is>
      </c>
      <c r="C10" s="62" t="inlineStr">
        <is>
          <t>Vout を 19.5V に設定</t>
        </is>
      </c>
      <c r="D10" s="62" t="inlineStr">
        <is>
          <t>J4 pin1</t>
        </is>
      </c>
      <c r="E10" s="63" t="inlineStr">
        <is>
          <t>記録のみ（電圧依存性の確認）</t>
        </is>
      </c>
      <c r="F10" s="66" t="inlineStr">
        <is>
          <t>mA</t>
        </is>
      </c>
      <c r="G10" s="67" t="n"/>
      <c r="H10" s="67" t="n"/>
      <c r="I10" s="68" t="n"/>
    </row>
    <row r="11" ht="17.25" customHeight="1" s="49">
      <c r="A11" s="66" t="inlineStr">
        <is>
          <t>11-7</t>
        </is>
      </c>
      <c r="B11" s="62" t="inlineStr">
        <is>
          <t>F3 の電圧降下</t>
        </is>
      </c>
      <c r="C11" s="62" t="inlineStr">
        <is>
          <t>11-5 と同時に測定</t>
        </is>
      </c>
      <c r="D11" s="62" t="inlineStr">
        <is>
          <t>Vout − J4 pin1</t>
        </is>
      </c>
      <c r="E11" s="62" t="inlineStr">
        <is>
          <t>LED 電流 × 1.6〜15Ω</t>
        </is>
      </c>
      <c r="F11" s="66" t="inlineStr">
        <is>
          <t>mV</t>
        </is>
      </c>
      <c r="G11" s="67" t="n"/>
      <c r="H11" s="67" t="n"/>
      <c r="I11" s="68" t="n"/>
    </row>
    <row r="12" ht="31.5" customHeight="1" s="49">
      <c r="A12" s="66" t="inlineStr">
        <is>
          <t>11-8</t>
        </is>
      </c>
      <c r="B12" s="62" t="inlineStr">
        <is>
          <t>LED 線短絡時のトリップ</t>
        </is>
      </c>
      <c r="C12" s="63" t="inlineStr">
        <is>
          <t>★ 電流制限付き電源で J4 pin1 − pin2 を短絡</t>
        </is>
      </c>
      <c r="D12" s="62" t="inlineStr">
        <is>
          <t>J4</t>
        </is>
      </c>
      <c r="E12" s="62" t="inlineStr">
        <is>
          <t>F3 がトリップすること。1 秒以内</t>
        </is>
      </c>
      <c r="F12" s="73" t="inlineStr">
        <is>
          <t>秒</t>
        </is>
      </c>
      <c r="G12" s="67" t="n"/>
      <c r="H12" s="67" t="n"/>
      <c r="I12" s="68" t="n"/>
    </row>
    <row r="13" ht="17.25" customHeight="1" s="49">
      <c r="A13" s="66" t="inlineStr">
        <is>
          <t>11-9</t>
        </is>
      </c>
      <c r="B13" s="62" t="inlineStr">
        <is>
          <t>F3 の復帰時間</t>
        </is>
      </c>
      <c r="C13" s="63" t="inlineStr">
        <is>
          <t>短絡を解除し、LED が再点灯するまで</t>
        </is>
      </c>
      <c r="D13" s="63" t="inlineStr">
        <is>
          <t>外部 LED</t>
        </is>
      </c>
      <c r="E13" s="63" t="inlineStr">
        <is>
          <t>記録のみ</t>
        </is>
      </c>
      <c r="F13" s="73" t="inlineStr">
        <is>
          <t>秒</t>
        </is>
      </c>
      <c r="G13" s="67" t="n"/>
      <c r="H13" s="67" t="n"/>
      <c r="I13" s="68" t="n"/>
    </row>
    <row r="14" ht="60.75" customHeight="1" s="49">
      <c r="A14" s="66" t="inlineStr">
        <is>
          <t>11-10</t>
        </is>
      </c>
      <c r="B14" s="62" t="inlineStr">
        <is>
          <t>EN_FB の読み戻し</t>
        </is>
      </c>
      <c r="C14" s="63" t="inlineStr">
        <is>
          <t>非常停止を押す／解除する</t>
        </is>
      </c>
      <c r="D14" s="62" t="inlineStr">
        <is>
          <t>IC6.15 / TP7</t>
        </is>
      </c>
      <c r="E14" s="62" t="inlineStr">
        <is>
          <t>PA8 が TP7 の状態（2.68V ↔ 78mV）を R41 10kΩ 経由で読めること。#12 の STOP 判定と復帰に使う</t>
        </is>
      </c>
      <c r="F14" s="66" t="inlineStr">
        <is>
          <t>V</t>
        </is>
      </c>
      <c r="G14" s="67" t="n"/>
      <c r="H14" s="67" t="n"/>
      <c r="I14" s="68" t="n"/>
    </row>
    <row r="16" ht="17.25" customHeight="1" s="49">
      <c r="A16" s="71" t="inlineStr">
        <is>
          <t>★ 11-8 は意図的な短絡試験です。必ず電流制限付き電源で実施し、パックは接続しないでください。</t>
        </is>
      </c>
    </row>
    <row r="17" ht="17.25" customHeight="1" s="49">
      <c r="A17" s="69" t="inlineStr">
        <is>
          <t>※ 11-5 が 40mA を超える場合、F3 を 1206L020/60NR（ホールド電流 200mA）に変更してください。筐体内 65℃ ではホールド電流が 25℃ 定格の 6 割程度まで下がります。</t>
        </is>
      </c>
    </row>
    <row r="18" ht="17.25" customHeight="1" s="49">
      <c r="A18" s="69" t="inlineStr">
        <is>
          <t>※ F3（1206L010/60NR）の諸元：ホールド 100mA / トリップ 250mA / Vmax 60V / 正常時抵抗 1.6〜15Ω / 動作温度 −40〜85℃。</t>
        </is>
      </c>
    </row>
    <row r="19" ht="17.25" customHeight="1" s="49">
      <c r="A19" s="70" t="inlineStr">
        <is>
          <t>※ 外部 LED は Vout から駆動されるため、非常停止・サーマル遮断・OVP・UVLO・マイコンによる遮断のいずれで遮断されても消灯します。スイッチ位置ではなく実際の出力を示します。</t>
        </is>
      </c>
    </row>
    <row r="20" ht="17.25" customHeight="1" s="49">
      <c r="A20" s="69" t="inlineStr">
        <is>
          <t>※ 11-10 は v3.0.0 で追加した項目です。J4 のハーネスは v2.1.1 のまま流用できますが、pin3 / pin4 が繋がるネットが 3.3V 系ロジック（EN_SWITCH / EN）に変わりました。</t>
        </is>
      </c>
    </row>
    <row r="21" ht="31.5" customHeight="1" s="49">
      <c r="A21" s="69" t="inlineStr">
        <is>
          <t>※ J4 ハーネスが Vout に短絡した場合、D8（5V ESD）が先にクランプして電流を全部引き受けます。D8 はこの間クランプ 9V 付近で 100mA＝約 0.9W を負担するため破壊される前提の犠牲部品です。ハーネス短絡の後は D8 を交換してください。</t>
        </is>
      </c>
    </row>
  </sheetData>
  <mergeCells count="7">
    <mergeCell ref="A2:I2"/>
    <mergeCell ref="A19:I19"/>
    <mergeCell ref="A17:I17"/>
    <mergeCell ref="A18:I18"/>
    <mergeCell ref="A20:I20"/>
    <mergeCell ref="A21:I21"/>
    <mergeCell ref="A16:I16"/>
  </mergeCells>
  <dataValidations count="1">
    <dataValidation sqref="H5:H14" showDropDown="0" showInputMessage="0" showErrorMessage="0" allowBlank="1" type="list" errorStyle="stop" operator="between">
      <formula1>"OK,NG,未実施"</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I1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48" min="1" max="1"/>
    <col width="20" customWidth="1" style="48" min="2" max="2"/>
    <col width="34" customWidth="1" style="48" min="3" max="3"/>
    <col width="16" customWidth="1" style="48" min="4" max="4"/>
    <col width="26" customWidth="1" style="48" min="5" max="5"/>
    <col width="7" customWidth="1" style="48" min="6" max="6"/>
    <col width="12" customWidth="1" style="48" min="7" max="7"/>
    <col width="9" customWidth="1" style="48" min="8" max="8"/>
    <col width="26" customWidth="1" style="48" min="9" max="9"/>
  </cols>
  <sheetData>
    <row r="1" ht="21" customHeight="1" s="49">
      <c r="A1" s="50" t="inlineStr">
        <is>
          <t>12_量産工程（300 枚ロット）</t>
        </is>
      </c>
    </row>
    <row r="2" ht="31.5" customHeight="1" s="49">
      <c r="A2" s="72" t="inlineStr">
        <is>
          <t>300 枚ロットの量産工程。方針は「全数は短縮版、抜取りでフル試験」。J6（SWD ヘッダ）は量産では未実装とし、スルーホールにポゴピンを当てて書き込む。試作（v3.0.0 初号〜）では J6 を PCBA 実装しているので、本シートの治具は量産ロットから適用する。</t>
        </is>
      </c>
    </row>
    <row r="3"/>
    <row r="4" ht="17.25" customHeight="1" s="49">
      <c r="A4" s="74" t="inlineStr">
        <is>
          <t>前提条件</t>
        </is>
      </c>
    </row>
    <row r="5" ht="17.25" customHeight="1" s="49">
      <c r="A5" s="75" t="inlineStr">
        <is>
          <t>項目</t>
        </is>
      </c>
      <c r="B5" s="75" t="inlineStr">
        <is>
          <t>内容</t>
        </is>
      </c>
    </row>
    <row r="6" ht="31.5" customHeight="1" s="49">
      <c r="A6" s="63" t="inlineStr">
        <is>
          <t>ロット数量</t>
        </is>
      </c>
      <c r="B6" s="62" t="inlineStr">
        <is>
          <t>300 枚</t>
        </is>
      </c>
    </row>
    <row r="7" ht="90" customHeight="1" s="49">
      <c r="A7" s="62" t="inlineStr">
        <is>
          <t>J6（SWD ヘッダ）</t>
        </is>
      </c>
      <c r="B7" s="63" t="inlineStr">
        <is>
          <t>★量産では未実装（DNP）。発注時に「J6 はスルーホールを塞がずに未実装」と明示すること。溶融はんだで穴が埋まるとポゴピンが入らない</t>
        </is>
      </c>
    </row>
    <row r="8" ht="75" customHeight="1" s="49">
      <c r="A8" s="62" t="inlineStr">
        <is>
          <t>JP1</t>
        </is>
      </c>
      <c r="B8" s="63" t="inlineStr">
        <is>
          <t>基板パターンのみ。★量産では絶対にブリッジしない（ブリッジするとマイコンによる遮断が一切効かない）</t>
        </is>
      </c>
    </row>
    <row r="9" ht="104.25" customHeight="1" s="49">
      <c r="A9" s="63" t="inlineStr">
        <is>
          <t>電源の供給</t>
        </is>
      </c>
      <c r="B9" s="62" t="inlineStr">
        <is>
          <t>J1（XT60）に 24V / 電流制限 0.2A の可変電源を接続する。IC4 経由で 3.3V レールが立ち、MCU が動く。VBUS 経由にすることで IC4 の動作も同時に検証できる</t>
        </is>
      </c>
    </row>
    <row r="10" ht="104.25" customHeight="1" s="49">
      <c r="A10" s="62" t="inlineStr">
        <is>
          <t>J4 ループバックプラグ</t>
        </is>
      </c>
      <c r="B10" s="62" t="inlineStr">
        <is>
          <t>JST XA 4 極のハウジングに pin3 − pin4 を短絡した線を入れた治具。非常停止スイッチの「解除」を模擬する。抜き差しで P-7 の非常停止試験ができる</t>
        </is>
      </c>
    </row>
    <row r="11" ht="31.5" customHeight="1" s="49">
      <c r="A11" s="63" t="inlineStr">
        <is>
          <t>全数検査</t>
        </is>
      </c>
      <c r="B11" s="62" t="inlineStr">
        <is>
          <t>P-1〜P-7 の 7 項目。1 枚あたり約 100 秒</t>
        </is>
      </c>
    </row>
    <row r="12" ht="60.75" customHeight="1" s="49">
      <c r="A12" s="63" t="inlineStr">
        <is>
          <t>抜取り検査</t>
        </is>
      </c>
      <c r="B12" s="63" t="inlineStr">
        <is>
          <t>初期流動 5 枚（レベル A）＋ 以降 30 枚ごとに 1 枚（レベル B、計 10 枚）＝ 合計 15 枚</t>
        </is>
      </c>
    </row>
    <row r="13" ht="104.25" customHeight="1" s="49">
      <c r="A13" s="63" t="inlineStr">
        <is>
          <t>工数の目安</t>
        </is>
      </c>
      <c r="B13" s="63" t="inlineStr">
        <is>
          <t>全数 300 枚 × 100 秒 ≒ 8.5 時間 ／ 抜取り A 5 枚 × 60 分 ＝ 5 時間 ／ 抜取り B 10 枚 × 20 分 ≒ 3.3 時間 ／ 合計 約 17 時間（約 2 人日）</t>
        </is>
      </c>
    </row>
    <row r="14"/>
    <row r="15" ht="17.25" customHeight="1" s="49">
      <c r="A15" s="74" t="inlineStr">
        <is>
          <t>工程フロー（1 枚あたり）</t>
        </is>
      </c>
    </row>
    <row r="16" ht="17.25" customHeight="1" s="49">
      <c r="A16" s="75" t="inlineStr">
        <is>
          <t>順</t>
        </is>
      </c>
      <c r="B16" s="75" t="inlineStr">
        <is>
          <t>工程</t>
        </is>
      </c>
      <c r="C16" s="75" t="inlineStr">
        <is>
          <t>内容</t>
        </is>
      </c>
      <c r="D16" s="75" t="inlineStr">
        <is>
          <t>所要</t>
        </is>
      </c>
    </row>
    <row r="17" ht="31.5" customHeight="1" s="49">
      <c r="A17" s="62" t="inlineStr">
        <is>
          <t>1</t>
        </is>
      </c>
      <c r="B17" s="63" t="inlineStr">
        <is>
          <t>受入</t>
        </is>
      </c>
      <c r="C17" s="62" t="inlineStr">
        <is>
          <t>PCBA から入荷。ロット番号・数量・製造日を記録</t>
        </is>
      </c>
      <c r="D17" s="62" t="inlineStr">
        <is>
          <t>—</t>
        </is>
      </c>
    </row>
    <row r="18" ht="17.25" customHeight="1" s="49">
      <c r="A18" s="62" t="inlineStr">
        <is>
          <t>2</t>
        </is>
      </c>
      <c r="B18" s="63" t="inlineStr">
        <is>
          <t>外観（P-1）</t>
        </is>
      </c>
      <c r="C18" s="63" t="inlineStr">
        <is>
          <t>ルーペで目視</t>
        </is>
      </c>
      <c r="D18" s="62" t="inlineStr">
        <is>
          <t>20 秒</t>
        </is>
      </c>
    </row>
    <row r="19" ht="17.25" customHeight="1" s="49">
      <c r="A19" s="62" t="inlineStr">
        <is>
          <t>3</t>
        </is>
      </c>
      <c r="B19" s="63" t="inlineStr">
        <is>
          <t>出力短絡（P-2）</t>
        </is>
      </c>
      <c r="C19" s="62" t="inlineStr">
        <is>
          <t>DMM 抵抗レンジ</t>
        </is>
      </c>
      <c r="D19" s="62" t="inlineStr">
        <is>
          <t>8 秒</t>
        </is>
      </c>
    </row>
    <row r="20" ht="31.5" customHeight="1" s="49">
      <c r="A20" s="62" t="inlineStr">
        <is>
          <t>4</t>
        </is>
      </c>
      <c r="B20" s="63" t="inlineStr">
        <is>
          <t>通電（P-3 / P-4）</t>
        </is>
      </c>
      <c r="C20" s="62" t="inlineStr">
        <is>
          <t>J1 に 24V 投入。3.3V レールと「Vout が出ないこと」を確認</t>
        </is>
      </c>
      <c r="D20" s="62" t="inlineStr">
        <is>
          <t>17 秒</t>
        </is>
      </c>
    </row>
    <row r="21" ht="31.5" customHeight="1" s="49">
      <c r="A21" s="62" t="inlineStr">
        <is>
          <t>5</t>
        </is>
      </c>
      <c r="B21" s="63" t="inlineStr">
        <is>
          <t>書き込み（P-5）</t>
        </is>
      </c>
      <c r="C21" s="63" t="inlineStr">
        <is>
          <t>ポゴピン治具を押し当て、CLI を実行。UID とログを記録</t>
        </is>
      </c>
      <c r="D21" s="62" t="inlineStr">
        <is>
          <t>15 秒</t>
        </is>
      </c>
    </row>
    <row r="22" ht="31.5" customHeight="1" s="49">
      <c r="A22" s="62" t="inlineStr">
        <is>
          <t>6</t>
        </is>
      </c>
      <c r="B22" s="63" t="inlineStr">
        <is>
          <t>運転確認（P-6）</t>
        </is>
      </c>
      <c r="C22" s="62" t="inlineStr">
        <is>
          <t>J4 ループバックを挿す。Vout と LED1 を確認</t>
        </is>
      </c>
      <c r="D22" s="62" t="inlineStr">
        <is>
          <t>12 秒</t>
        </is>
      </c>
    </row>
    <row r="23" ht="31.5" customHeight="1" s="49">
      <c r="A23" s="62" t="inlineStr">
        <is>
          <t>7</t>
        </is>
      </c>
      <c r="B23" s="63" t="inlineStr">
        <is>
          <t>非常停止（P-7）</t>
        </is>
      </c>
      <c r="C23" s="63" t="inlineStr">
        <is>
          <t>ループバックを抜く。Vout が落ちることを確認</t>
        </is>
      </c>
      <c r="D23" s="62" t="inlineStr">
        <is>
          <t>5 秒</t>
        </is>
      </c>
    </row>
    <row r="24" ht="31.5" customHeight="1" s="49">
      <c r="A24" s="62" t="inlineStr">
        <is>
          <t>8</t>
        </is>
      </c>
      <c r="B24" s="63" t="inlineStr">
        <is>
          <t>電源断</t>
        </is>
      </c>
      <c r="C24" s="62" t="inlineStr">
        <is>
          <t>24V を落とし、MDDS30 側を放電（本工程では負荷未接続のため不要）</t>
        </is>
      </c>
      <c r="D24" s="62" t="inlineStr">
        <is>
          <t>—</t>
        </is>
      </c>
    </row>
    <row r="25" ht="31.5" customHeight="1" s="49">
      <c r="A25" s="62" t="inlineStr">
        <is>
          <t>9</t>
        </is>
      </c>
      <c r="B25" s="63" t="inlineStr">
        <is>
          <t>抜取り判定</t>
        </is>
      </c>
      <c r="C25" s="63" t="inlineStr">
        <is>
          <t>該当枚（初期 5 枚 ＋ 30 枚ごと）なら抜取り検査へ回す</t>
        </is>
      </c>
      <c r="D25" s="62" t="inlineStr">
        <is>
          <t>—</t>
        </is>
      </c>
    </row>
    <row r="26" ht="31.5" customHeight="1" s="49">
      <c r="A26" s="62" t="inlineStr">
        <is>
          <t>10</t>
        </is>
      </c>
      <c r="B26" s="63" t="inlineStr">
        <is>
          <t>ラベル・梱包</t>
        </is>
      </c>
      <c r="C26" s="63" t="inlineStr">
        <is>
          <t>基板に UID 下 6 桁とロット番号を記載したラベルを貼る</t>
        </is>
      </c>
      <c r="D26" s="62" t="inlineStr">
        <is>
          <t>15 秒</t>
        </is>
      </c>
    </row>
    <row r="27"/>
    <row r="28" ht="17.25" customHeight="1" s="49">
      <c r="A28" s="74" t="inlineStr">
        <is>
          <t>全数検査項目（短縮版）</t>
        </is>
      </c>
    </row>
    <row r="29" ht="30" customHeight="1" s="49">
      <c r="A29" s="65" t="inlineStr">
        <is>
          <t>No.</t>
        </is>
      </c>
      <c r="B29" s="61" t="inlineStr">
        <is>
          <t>項目</t>
        </is>
      </c>
      <c r="C29" s="61" t="inlineStr">
        <is>
          <t>手順・条件</t>
        </is>
      </c>
      <c r="D29" s="61" t="inlineStr">
        <is>
          <t>測定点</t>
        </is>
      </c>
      <c r="E29" s="61" t="inlineStr">
        <is>
          <t>設計値・判定基準</t>
        </is>
      </c>
      <c r="F29" s="61" t="inlineStr">
        <is>
          <t>単位</t>
        </is>
      </c>
      <c r="G29" s="61" t="inlineStr">
        <is>
          <t>実測値</t>
        </is>
      </c>
      <c r="H29" s="61" t="inlineStr">
        <is>
          <t>判定</t>
        </is>
      </c>
      <c r="I29" s="61" t="inlineStr">
        <is>
          <t>備考</t>
        </is>
      </c>
    </row>
    <row r="30" ht="118.5" customHeight="1" s="49">
      <c r="A30" s="66" t="inlineStr">
        <is>
          <t>P-1</t>
        </is>
      </c>
      <c r="B30" s="63" t="inlineStr">
        <is>
          <t>外観</t>
        </is>
      </c>
      <c r="C30" s="63" t="inlineStr">
        <is>
          <t>ルーペ（8〜10倍、LED付）で全面</t>
        </is>
      </c>
      <c r="D30" s="63" t="inlineStr">
        <is>
          <t>基板全体</t>
        </is>
      </c>
      <c r="E30" s="63" t="inlineStr">
        <is>
          <t>ブリッジ・未はんだ・欠品・向き違いが無いこと。重点は IC6（TSSOP-20、0.65mm ピッチ）、IC4（SOT-23-6）、Q1〜Q3（PG-TDSON-8）。★ J6 のスルーホール 5 個がはんだで塞がっていないこと。★ JP1 がブリッジされていないこと、U3（TSSOP-8、0.65mm ピッチ）、IC5（SOT-23-5）、R70（2512 シャント、ケルビンパッドの向き）。★ R73 / C64 / C69 が未実装（DNP）であること。★ R74 / R75（0Ω）が実装されていること</t>
        </is>
      </c>
      <c r="F30" s="66" t="inlineStr">
        <is>
          <t>—</t>
        </is>
      </c>
      <c r="G30" s="67" t="n"/>
      <c r="H30" s="67" t="n"/>
      <c r="I30" s="68" t="n"/>
    </row>
    <row r="31" ht="60.75" customHeight="1" s="49">
      <c r="A31" s="66" t="inlineStr">
        <is>
          <t>P-2</t>
        </is>
      </c>
      <c r="B31" s="63" t="inlineStr">
        <is>
          <t>出力短絡</t>
        </is>
      </c>
      <c r="C31" s="62" t="inlineStr">
        <is>
          <t>DMM 抵抗レンジ（無通電）</t>
        </is>
      </c>
      <c r="D31" s="62" t="inlineStr">
        <is>
          <t>TP10 − TP19</t>
        </is>
      </c>
      <c r="E31" s="63" t="inlineStr">
        <is>
          <t>数百Ω以上で、C7 / C11 の充電により表示が上昇し続けること。数Ωで止まったら Vout − GND の短絡</t>
        </is>
      </c>
      <c r="F31" s="66" t="inlineStr">
        <is>
          <t>Ω</t>
        </is>
      </c>
      <c r="G31" s="67" t="n"/>
      <c r="H31" s="67" t="n"/>
      <c r="I31" s="68" t="n"/>
    </row>
    <row r="32" ht="46.5" customHeight="1" s="49">
      <c r="A32" s="66" t="inlineStr">
        <is>
          <t>P-3</t>
        </is>
      </c>
      <c r="B32" s="62" t="inlineStr">
        <is>
          <t>3.3V レール</t>
        </is>
      </c>
      <c r="C32" s="62" t="inlineStr">
        <is>
          <t>J1 に 24V 投入（電流制限 0.2A）、J4 は未接続</t>
        </is>
      </c>
      <c r="D32" s="62" t="inlineStr">
        <is>
          <t>TP24 − TP32</t>
        </is>
      </c>
      <c r="E32" s="62" t="inlineStr">
        <is>
          <t>3.21〜3.41V（3.307V ±3%）。同時に電源の電流表示が 5mA 未満であること</t>
        </is>
      </c>
      <c r="F32" s="66" t="inlineStr">
        <is>
          <t>V</t>
        </is>
      </c>
      <c r="G32" s="67" t="n"/>
      <c r="H32" s="67" t="n"/>
      <c r="I32" s="68" t="n"/>
    </row>
    <row r="33" ht="46.5" customHeight="1" s="49">
      <c r="A33" s="66" t="inlineStr">
        <is>
          <t>P-4</t>
        </is>
      </c>
      <c r="B33" s="63" t="inlineStr">
        <is>
          <t>★未書込みで Vout が出ないこと</t>
        </is>
      </c>
      <c r="C33" s="62" t="inlineStr">
        <is>
          <t>P-3 と同じ状態</t>
        </is>
      </c>
      <c r="D33" s="62" t="inlineStr">
        <is>
          <t>TP10 − TP19</t>
        </is>
      </c>
      <c r="E33" s="62" t="inlineStr">
        <is>
          <t>0.1V 未満。★これがフェイルセーフの全数検証。Vout が出たら重大不適合</t>
        </is>
      </c>
      <c r="F33" s="66" t="inlineStr">
        <is>
          <t>V</t>
        </is>
      </c>
      <c r="G33" s="67" t="n"/>
      <c r="H33" s="67" t="n"/>
      <c r="I33" s="68" t="n"/>
    </row>
    <row r="34" ht="46.5" customHeight="1" s="49">
      <c r="A34" s="66" t="inlineStr">
        <is>
          <t>P-5</t>
        </is>
      </c>
      <c r="B34" s="63" t="inlineStr">
        <is>
          <t>書き込み＋ベリファイ</t>
        </is>
      </c>
      <c r="C34" s="63" t="inlineStr">
        <is>
          <t>ポゴピン治具を J6 のスルーホールに押し当て、書き込みスクリプトを実行</t>
        </is>
      </c>
      <c r="D34" s="62" t="inlineStr">
        <is>
          <t>J6 pin1〜5</t>
        </is>
      </c>
      <c r="E34" s="62" t="inlineStr">
        <is>
          <t>CLI が PASS を返すこと。UID・FW ハッシュ・RDP 設定結果がログに記録されること</t>
        </is>
      </c>
      <c r="F34" s="66" t="inlineStr">
        <is>
          <t>—</t>
        </is>
      </c>
      <c r="G34" s="67" t="n"/>
      <c r="H34" s="67" t="n"/>
      <c r="I34" s="68" t="n"/>
    </row>
    <row r="35" ht="46.5" customHeight="1" s="49">
      <c r="A35" s="66" t="inlineStr">
        <is>
          <t>P-6</t>
        </is>
      </c>
      <c r="B35" s="63" t="inlineStr">
        <is>
          <t>運転移行</t>
        </is>
      </c>
      <c r="C35" s="62" t="inlineStr">
        <is>
          <t>J4 ループバックプラグを挿す</t>
        </is>
      </c>
      <c r="D35" s="62" t="inlineStr">
        <is>
          <t>TP10 − TP19 / LED1</t>
        </is>
      </c>
      <c r="E35" s="62" t="inlineStr">
        <is>
          <t>Vout が VBUS − 0.5V 以上に立ち上がること。LED1 が点灯すること</t>
        </is>
      </c>
      <c r="F35" s="66" t="inlineStr">
        <is>
          <t>V</t>
        </is>
      </c>
      <c r="G35" s="67" t="n"/>
      <c r="H35" s="67" t="n"/>
      <c r="I35" s="68" t="n"/>
    </row>
    <row r="36" ht="31.5" customHeight="1" s="49">
      <c r="A36" s="66" t="inlineStr">
        <is>
          <t>P-7</t>
        </is>
      </c>
      <c r="B36" s="63" t="inlineStr">
        <is>
          <t>★非常停止</t>
        </is>
      </c>
      <c r="C36" s="62" t="inlineStr">
        <is>
          <t>J4 ループバックプラグを抜く</t>
        </is>
      </c>
      <c r="D36" s="62" t="inlineStr">
        <is>
          <t>TP10 − TP19</t>
        </is>
      </c>
      <c r="E36" s="62" t="inlineStr">
        <is>
          <t>Vout が 0.5V 未満に落ちること。★効かなければ重大不適合</t>
        </is>
      </c>
      <c r="F36" s="66" t="inlineStr">
        <is>
          <t>V</t>
        </is>
      </c>
      <c r="G36" s="67" t="n"/>
      <c r="H36" s="67" t="n"/>
      <c r="I36" s="68" t="n"/>
    </row>
    <row r="37"/>
    <row r="38" ht="31.5" customHeight="1" s="49">
      <c r="A38" s="71" t="inlineStr">
        <is>
          <t>★ P-4 と P-7 は安全に関わる項目です。どちらかが NG の基板は、原因を特定して是正するまで絶対に出荷しないでください。P-4 の NG はマイコン死亡時に出力が切れないことを、P-7 の NG は非常停止が効かないことを意味します。</t>
        </is>
      </c>
    </row>
    <row r="39" ht="31.5" customHeight="1" s="49">
      <c r="A39" s="70" t="inlineStr">
        <is>
          <t>※ 電源の電流制限を 0.2A にしておくことで、VBUS − GND や 3.3V − GND の短絡は P-3 の時点で CC に入って分かります。そのため DMM による短絡確認は、Q3 を守る必要がある出力側（P-2）だけに絞っています。</t>
        </is>
      </c>
    </row>
    <row r="40" ht="17.25" customHeight="1" s="49">
      <c r="A40" s="69" t="inlineStr">
        <is>
          <t>※ P-3 で IC4（3.3V 降圧）も同時に検証されます。3.3V を直接注入する方式だと IC4 が未検証のまま通過してしまうため、VBUS からの給電にしています。</t>
        </is>
      </c>
    </row>
    <row r="41" ht="31.5" customHeight="1" s="49">
      <c r="A41" s="69" t="inlineStr">
        <is>
          <t>※ P-6 で Vout が立ち上がるのは、書き込み済みマイコンが PA5 = L にし、J4 ループバックで EN 経路が閉じるためです。立ち上がりに 40〜90ms かかるので、挿してから 0.5 秒ほど待って測定してください。</t>
        </is>
      </c>
    </row>
    <row r="42" ht="17.25" customHeight="1" s="49">
      <c r="A42" s="70" t="inlineStr">
        <is>
          <t>※ 本工程では MDDS30 を接続しないため、Vout 側の容量は C7 47µF ＋ C11 1µF の 48µF だけです。蓄積エネルギーは 29.4V で 20.7mJ と小さく、放電手順は不要です。</t>
        </is>
      </c>
    </row>
    <row r="43" ht="17.25" customHeight="1" s="49">
      <c r="A43" s="69" t="inlineStr">
        <is>
          <t>※ 1 枚あたり約 100 秒（外観 20 ＋ 短絡 8 ＋ 通電 17 ＋ 書き込み 15 ＋ 運転 12 ＋ 非常停止 5 ＋ ハンドリング 25）。300 枚で約 8.5 時間です。</t>
        </is>
      </c>
    </row>
    <row r="44"/>
    <row r="45" ht="17.25" customHeight="1" s="49">
      <c r="A45" s="78" t="inlineStr">
        <is>
          <t>NG 時の処置</t>
        </is>
      </c>
    </row>
    <row r="46" ht="17.25" customHeight="1" s="49">
      <c r="A46" s="77" t="inlineStr">
        <is>
          <t>NG 項目</t>
        </is>
      </c>
      <c r="B46" s="75" t="inlineStr">
        <is>
          <t>想定原因</t>
        </is>
      </c>
      <c r="C46" s="75" t="inlineStr">
        <is>
          <t>処置</t>
        </is>
      </c>
      <c r="D46" s="75" t="inlineStr">
        <is>
          <t>出荷</t>
        </is>
      </c>
    </row>
    <row r="47" ht="31.5" customHeight="1" s="49">
      <c r="A47" s="62" t="inlineStr">
        <is>
          <t>P-1 外観</t>
        </is>
      </c>
      <c r="B47" s="63" t="inlineStr">
        <is>
          <t>はんだブリッジ、未はんだ、欠品、向き違い</t>
        </is>
      </c>
      <c r="C47" s="63" t="inlineStr">
        <is>
          <t>リワーク後に P-1 から再実施</t>
        </is>
      </c>
      <c r="D47" s="63" t="inlineStr">
        <is>
          <t>是正後可</t>
        </is>
      </c>
    </row>
    <row r="48" ht="46.5" customHeight="1" s="49">
      <c r="A48" s="62" t="inlineStr">
        <is>
          <t>P-2 出力短絡</t>
        </is>
      </c>
      <c r="B48" s="62" t="inlineStr">
        <is>
          <t>D1 / D7 / C7 / C11 / Q3 周辺のブリッジ、または Q3 の D−S 短絡</t>
        </is>
      </c>
      <c r="C48" s="63" t="inlineStr">
        <is>
          <t>該当部品を確認・交換</t>
        </is>
      </c>
      <c r="D48" s="63" t="inlineStr">
        <is>
          <t>是正後可</t>
        </is>
      </c>
    </row>
    <row r="49" ht="60.75" customHeight="1" s="49">
      <c r="A49" s="62" t="inlineStr">
        <is>
          <t>P-3 3.3V が出ない / 電圧ずれ</t>
        </is>
      </c>
      <c r="B49" s="62" t="inlineStr">
        <is>
          <t>IC4、L2、D10、C27、C29、C30、R44 / R45（FB 分圧）</t>
        </is>
      </c>
      <c r="C49" s="62" t="inlineStr">
        <is>
          <t>FB 分圧の実装値を確認。SW ノードのループも確認</t>
        </is>
      </c>
      <c r="D49" s="63" t="inlineStr">
        <is>
          <t>是正後可</t>
        </is>
      </c>
    </row>
    <row r="50" ht="60.75" customHeight="1" s="49">
      <c r="A50" s="62" t="inlineStr">
        <is>
          <t>P-3 電流が 5mA を超える</t>
        </is>
      </c>
      <c r="B50" s="62" t="inlineStr">
        <is>
          <t>3.3V レールの部分短絡、IC6 の不良</t>
        </is>
      </c>
      <c r="C50" s="63" t="inlineStr">
        <is>
          <t>即座に電源を落とす。TP24 − TP32 の抵抗を測る</t>
        </is>
      </c>
      <c r="D50" s="63" t="inlineStr">
        <is>
          <t>是正後可</t>
        </is>
      </c>
    </row>
    <row r="51" ht="75" customHeight="1" s="49">
      <c r="A51" s="62" t="inlineStr">
        <is>
          <t>★P-4 Vout が出てしまう</t>
        </is>
      </c>
      <c r="B51" s="62" t="inlineStr">
        <is>
          <t>JP1 がブリッジされている／R42（1MΩ）未実装・不良／Q6 の向き違い・オープン故障／R48 未実装</t>
        </is>
      </c>
      <c r="C51" s="62" t="inlineStr">
        <is>
          <t>JP1、R42、R48、Q6 を順に確認。Q6 はピン1（ゲート）が左上であることを目視</t>
        </is>
      </c>
      <c r="D51" s="63" t="inlineStr">
        <is>
          <t>★是正・再試験まで出荷禁止</t>
        </is>
      </c>
    </row>
    <row r="52" ht="75" customHeight="1" s="49">
      <c r="A52" s="62" t="inlineStr">
        <is>
          <t>P-5 書き込み失敗</t>
        </is>
      </c>
      <c r="B52" s="63" t="inlineStr">
        <is>
          <t>治具の接触不良（まず再押し当て）、IC6 のはんだ不良、MCU_NRST / SWDIO / SWCLK の配線不良</t>
        </is>
      </c>
      <c r="C52" s="62" t="inlineStr">
        <is>
          <t>2 回再試行して駄目なら IC6 と J6 周辺をルーペで確認</t>
        </is>
      </c>
      <c r="D52" s="63" t="inlineStr">
        <is>
          <t>是正後可</t>
        </is>
      </c>
    </row>
    <row r="53" ht="60.75" customHeight="1" s="49">
      <c r="A53" s="62" t="inlineStr">
        <is>
          <t>P-6 Vout が出ない</t>
        </is>
      </c>
      <c r="B53" s="62" t="inlineStr">
        <is>
          <t>IC3（LM5060）、Q3、R51、EN チェーン（D11 / R39 / R40 / C12）、J4 のはんだ不良</t>
        </is>
      </c>
      <c r="C53" s="62" t="inlineStr">
        <is>
          <t>TP7（EN）が 2.68V まで上がっているかで切り分ける。上がっていれば IC3 以降、上がらなければ EN チェーン</t>
        </is>
      </c>
      <c r="D53" s="63" t="inlineStr">
        <is>
          <t>是正後可</t>
        </is>
      </c>
    </row>
    <row r="54" ht="60.75" customHeight="1" s="49">
      <c r="A54" s="62" t="inlineStr">
        <is>
          <t>★P-7 非常停止が効かない</t>
        </is>
      </c>
      <c r="B54" s="62" t="inlineStr">
        <is>
          <t>R40（2.2kΩ）未実装・不良、C12 の短絡、J4 のはんだ不良</t>
        </is>
      </c>
      <c r="C54" s="62" t="inlineStr">
        <is>
          <t>R40 の実装と値、J4 の 4 ピンの導通を確認</t>
        </is>
      </c>
      <c r="D54" s="63" t="inlineStr">
        <is>
          <t>★是正・再試験まで出荷禁止</t>
        </is>
      </c>
    </row>
    <row r="55"/>
    <row r="56" ht="17.25" customHeight="1" s="49">
      <c r="A56" s="74" t="inlineStr">
        <is>
          <t>書き込み手順（P-5 の詳細）</t>
        </is>
      </c>
    </row>
    <row r="57" ht="17.25" customHeight="1" s="49">
      <c r="A57" s="75" t="inlineStr">
        <is>
          <t>項目</t>
        </is>
      </c>
      <c r="B57" s="75" t="inlineStr">
        <is>
          <t>内容</t>
        </is>
      </c>
    </row>
    <row r="58" ht="75" customHeight="1" s="49">
      <c r="A58" s="63" t="inlineStr">
        <is>
          <t>ライタ</t>
        </is>
      </c>
      <c r="B58" s="62" t="inlineStr">
        <is>
          <t>STLINK-V3MINIE。★ターゲットに給電しないため、J1 からの 24V 投入が前提。予備を 1 台用意すること</t>
        </is>
      </c>
    </row>
    <row r="59" ht="46.5" customHeight="1" s="49">
      <c r="A59" s="63" t="inlineStr">
        <is>
          <t>接続</t>
        </is>
      </c>
      <c r="B59" s="62" t="inlineStr">
        <is>
          <t>STDC14 → 2.54mm 変換アダプタ → ポゴピン治具（5 極）</t>
        </is>
      </c>
    </row>
    <row r="60" ht="46.5" customHeight="1" s="49">
      <c r="A60" s="63" t="inlineStr">
        <is>
          <t>ソフト</t>
        </is>
      </c>
      <c r="B60" s="62" t="inlineStr">
        <is>
          <t>STM32CubeProgrammer CLI（STM32_Programmer_CLI）</t>
        </is>
      </c>
    </row>
    <row r="61" ht="60.75" customHeight="1" s="49">
      <c r="A61" s="63" t="inlineStr">
        <is>
          <t>書き込み</t>
        </is>
      </c>
      <c r="B61" s="62" t="inlineStr">
        <is>
          <t>STM32_Programmer_CLI -c port=SWD mode=UR reset=HWrst freq=4000 -w &lt;fw&gt;.hex -v -rst</t>
        </is>
      </c>
    </row>
    <row r="62" ht="109.5" customHeight="1" s="49">
      <c r="A62" s="62" t="inlineStr">
        <is>
          <t>UID 読み出し</t>
        </is>
      </c>
      <c r="B62" s="62" t="inlineStr">
        <is>
          <t>STM32_Programmer_CLI -c port=SWD mode=HOTPLUG -r32 &lt;UID先頭アドレス&gt; 0x0C　※ STM32C0 の Unique device ID レジスタのアドレスはリファレンスマニュアルで確認すること</t>
        </is>
      </c>
    </row>
    <row r="63" ht="90" customHeight="1" s="49">
      <c r="A63" s="63" t="inlineStr">
        <is>
          <t>読み出し保護</t>
        </is>
      </c>
      <c r="B63" s="62" t="inlineStr">
        <is>
          <t>STM32_Programmer_CLI -c port=SWD mode=UR -ob RDP=0xBB　★必ず書き込み・ベリファイが成功した後の最終ステップで実行する</t>
        </is>
      </c>
    </row>
    <row r="64" ht="109.5" customHeight="1" s="49">
      <c r="A64" s="63" t="inlineStr">
        <is>
          <t>実行順</t>
        </is>
      </c>
      <c r="B64" s="62" t="inlineStr">
        <is>
          <t>① UID 読み出し → ② 書き込み → ③ ベリファイ（-v） → ④ RDP Level 1 → ⑤ ログ追記。①〜⑤ を 1 本のスクリプトにまとめ、戻り値で PASS / FAIL を判定する</t>
        </is>
      </c>
    </row>
    <row r="65" ht="60.75" customHeight="1" s="49">
      <c r="A65" s="63" t="inlineStr">
        <is>
          <t>再試行</t>
        </is>
      </c>
      <c r="B65" s="63" t="inlineStr">
        <is>
          <t>接触不良による失敗を想定し、自動で 2 回まで再試行。3 回目の失敗で FAIL とする</t>
        </is>
      </c>
    </row>
    <row r="66"/>
    <row r="67" ht="17.25" customHeight="1" s="49">
      <c r="A67" s="74" t="inlineStr">
        <is>
          <t>読み出し保護（RDP）</t>
        </is>
      </c>
    </row>
    <row r="68" ht="17.25" customHeight="1" s="49">
      <c r="A68" s="75" t="inlineStr">
        <is>
          <t>レベル</t>
        </is>
      </c>
      <c r="B68" s="75" t="inlineStr">
        <is>
          <t>内容</t>
        </is>
      </c>
      <c r="C68" s="75" t="inlineStr">
        <is>
          <t>可逆性</t>
        </is>
      </c>
      <c r="D68" s="75" t="inlineStr">
        <is>
          <t>採用</t>
        </is>
      </c>
    </row>
    <row r="69" ht="31.5" customHeight="1" s="49">
      <c r="A69" s="62" t="inlineStr">
        <is>
          <t>Level 0（0xAA）</t>
        </is>
      </c>
      <c r="B69" s="63" t="inlineStr">
        <is>
          <t>保護なし（既定）</t>
        </is>
      </c>
      <c r="C69" s="62" t="inlineStr">
        <is>
          <t>—</t>
        </is>
      </c>
      <c r="D69" s="63" t="inlineStr">
        <is>
          <t>試作のみ</t>
        </is>
      </c>
    </row>
    <row r="70" ht="60.75" customHeight="1" s="49">
      <c r="A70" s="62" t="inlineStr">
        <is>
          <t>Level 1（0xBB）</t>
        </is>
      </c>
      <c r="B70" s="63" t="inlineStr">
        <is>
          <t>デバッガからのフラッシュ読み出しを禁止。Level 0 に戻すと全消去される</t>
        </is>
      </c>
      <c r="C70" s="63" t="inlineStr">
        <is>
          <t>可逆</t>
        </is>
      </c>
      <c r="D70" s="63" t="inlineStr">
        <is>
          <t>★量産で採用</t>
        </is>
      </c>
    </row>
    <row r="71" ht="31.5" customHeight="1" s="49">
      <c r="A71" s="62" t="inlineStr">
        <is>
          <t>Level 2（0xCC）</t>
        </is>
      </c>
      <c r="B71" s="63" t="inlineStr">
        <is>
          <t>デバッグを恒久的に無効化</t>
        </is>
      </c>
      <c r="C71" s="63" t="inlineStr">
        <is>
          <t>不可逆</t>
        </is>
      </c>
      <c r="D71" s="63" t="inlineStr">
        <is>
          <t>採用しない</t>
        </is>
      </c>
    </row>
    <row r="72"/>
    <row r="73" ht="31.5" customHeight="1" s="49">
      <c r="A73" s="71" t="inlineStr">
        <is>
          <t>★ Level 2 は選ばないでください。現場から戻った基板のファームウェアを更新することも、不具合を SWD で調査することもできなくなります。保護制御を担う基板でこれは割に合いません。</t>
        </is>
      </c>
    </row>
    <row r="74" ht="17.25" customHeight="1" s="49">
      <c r="A74" s="69" t="inlineStr">
        <is>
          <t>※ Level 1 ならデバッグ接続自体は可能で、禁止されるのはフラッシュの読み出しだけです。抜取り検査（レベル A / B）は RDP 設定後でも実施できます。</t>
        </is>
      </c>
    </row>
    <row r="75" ht="17.25" customHeight="1" s="49">
      <c r="A75" s="70" t="inlineStr">
        <is>
          <t>※ 再書き込みが必要になった場合は、RDP を Level 0 に戻す操作で全消去されたうえで書き込めます。フィールド返品の救済経路が残ります。</t>
        </is>
      </c>
    </row>
    <row r="76"/>
    <row r="77" ht="17.25" customHeight="1" s="49">
      <c r="A77" s="74" t="inlineStr">
        <is>
          <t>抜取り検査の計画</t>
        </is>
      </c>
    </row>
    <row r="78" ht="17.25" customHeight="1" s="49">
      <c r="A78" s="75" t="inlineStr">
        <is>
          <t>レベル</t>
        </is>
      </c>
      <c r="B78" s="75" t="inlineStr">
        <is>
          <t>対象</t>
        </is>
      </c>
      <c r="C78" s="75" t="inlineStr">
        <is>
          <t>頻度</t>
        </is>
      </c>
      <c r="D78" s="75" t="inlineStr">
        <is>
          <t>項目</t>
        </is>
      </c>
      <c r="E78" s="75" t="inlineStr">
        <is>
          <t>所要/枚</t>
        </is>
      </c>
    </row>
    <row r="79" ht="109.5" customHeight="1" s="49">
      <c r="A79" s="62" t="inlineStr">
        <is>
          <t>A（初期流動）</t>
        </is>
      </c>
      <c r="B79" s="63" t="inlineStr">
        <is>
          <t>ロットの最初の 5 枚</t>
        </is>
      </c>
      <c r="C79" s="63" t="inlineStr">
        <is>
          <t>最初の 5 枚すべて</t>
        </is>
      </c>
      <c r="D79" s="62" t="inlineStr">
        <is>
          <t>0_通電前確認 全 24 項目 ／ 1_3.3V電源 1-1〜1-6・1-8〜1-12 ／ 3_低電圧基本動作 全 11 項目 ／ 4_起動波形 4-2〜4-8 ／ 5_保護機能 5-1〜5-9・5-13 ／ 8_ブレーキチョッパ 8-1〜8-6・8-13 ／ 11_外部スイッチ・LED 11-1〜11-5・11-10</t>
        </is>
      </c>
      <c r="E79" s="63" t="inlineStr">
        <is>
          <t>約 60 分</t>
        </is>
      </c>
    </row>
    <row r="80" ht="104.25" customHeight="1" s="49">
      <c r="A80" s="62" t="inlineStr">
        <is>
          <t>B（定期）</t>
        </is>
      </c>
      <c r="B80" s="62" t="inlineStr">
        <is>
          <t>6 枚目以降</t>
        </is>
      </c>
      <c r="C80" s="62" t="inlineStr">
        <is>
          <t>30 枚ごとに 1 枚（計 10 枚）</t>
        </is>
      </c>
      <c r="D80" s="62" t="inlineStr">
        <is>
          <t>0_通電前確認 0-1〜0-16 ／ 1-1〜1-3 ／ 3-1〜3-4・3-7・3-10 ／ 4-3〜4-5 ／ 5-1・5-2・5-4 ／ 8-1〜8-3 ／ 11-1・11-3</t>
        </is>
      </c>
      <c r="E80" s="63" t="inlineStr">
        <is>
          <t>約 20 分</t>
        </is>
      </c>
    </row>
    <row r="81"/>
    <row r="82" ht="31.5" customHeight="1" s="49">
      <c r="A82" s="70" t="inlineStr">
        <is>
          <t>※ 初期流動の 5 枚を厚く見るのは、系統的な不良（部品の向き、定数違い、はんだ条件）が出るなら最初の数枚で出るためです。ここを通過できれば、以降は工程のドリフトを監視する目的に切り替えられます。</t>
        </is>
      </c>
    </row>
    <row r="83" ht="31.5" customHeight="1" s="49">
      <c r="A83" s="70" t="inlineStr">
        <is>
          <t>※ 抜取りで NG が出たら、その 1 枚だけの問題か工程の問題かを切り分けてください。工程の問題なら、前回の抜取り合格枚まで遡って全数再検査が必要になります。これが抜取り間隔を 30 枚に抑えている理由です。</t>
        </is>
      </c>
    </row>
    <row r="84" ht="31.5" customHeight="1" s="49">
      <c r="A84" s="70" t="inlineStr">
        <is>
          <t>※ 走行が必要な項目（9_走行時総合、10_GND分離、7_熱特性のストール試験）は抜取りからも外しています。これらは設計検証であって工程検証ではないため、初号機の結果をもって確認済みとします。</t>
        </is>
      </c>
    </row>
    <row r="85" ht="17.25" customHeight="1" s="49">
      <c r="A85" s="70" t="inlineStr">
        <is>
          <t>※ レベル A / B の実施記録は、試験記録シートの該当シートに枚ごとに記入するか、本ファイルを基板ごとにコピーして使ってください。</t>
        </is>
      </c>
    </row>
    <row r="86" ht="17.25" customHeight="1" s="49">
      <c r="A86" s="70" t="inlineStr">
        <is>
          <t>※ 抜取り枚数は合計 15 枚（5%）です。より厳しくするなら定期を 20 枚ごと（計 15 枚）に、緩めるなら 50 枚ごと（計 6 枚）に調整してください。</t>
        </is>
      </c>
    </row>
    <row r="87"/>
    <row r="88" ht="17.25" customHeight="1" s="49">
      <c r="A88" s="74" t="inlineStr">
        <is>
          <t>書き込み治具の接点定義</t>
        </is>
      </c>
    </row>
    <row r="89" ht="31.5" customHeight="1" s="49">
      <c r="A89" s="75" t="inlineStr">
        <is>
          <t>接点 / 要素</t>
        </is>
      </c>
      <c r="B89" s="75" t="inlineStr">
        <is>
          <t>座標 (mm)</t>
        </is>
      </c>
      <c r="C89" s="75" t="inlineStr">
        <is>
          <t>仕様</t>
        </is>
      </c>
      <c r="D89" s="75" t="inlineStr">
        <is>
          <t>接続先</t>
        </is>
      </c>
    </row>
    <row r="90" ht="31.5" customHeight="1" s="49">
      <c r="A90" s="62" t="inlineStr">
        <is>
          <t>J6 pin1</t>
        </is>
      </c>
      <c r="B90" s="62" t="inlineStr">
        <is>
          <t>(105.28, 122.08)</t>
        </is>
      </c>
      <c r="C90" s="63" t="inlineStr">
        <is>
          <t>スルーホール φ1.0 / パッド 1.7</t>
        </is>
      </c>
      <c r="D90" s="62" t="inlineStr">
        <is>
          <t>+3V3 ＋ ライタの T_VCC（VTref）</t>
        </is>
      </c>
    </row>
    <row r="91" ht="17.25" customHeight="1" s="49">
      <c r="A91" s="62" t="inlineStr">
        <is>
          <t>J6 pin2</t>
        </is>
      </c>
      <c r="B91" s="62" t="inlineStr">
        <is>
          <t>(105.28, 124.62)</t>
        </is>
      </c>
      <c r="C91" s="63" t="inlineStr">
        <is>
          <t>同上</t>
        </is>
      </c>
      <c r="D91" s="62" t="inlineStr">
        <is>
          <t>SWDIO</t>
        </is>
      </c>
    </row>
    <row r="92" ht="17.25" customHeight="1" s="49">
      <c r="A92" s="62" t="inlineStr">
        <is>
          <t>J6 pin3</t>
        </is>
      </c>
      <c r="B92" s="62" t="inlineStr">
        <is>
          <t>(105.28, 127.16)</t>
        </is>
      </c>
      <c r="C92" s="63" t="inlineStr">
        <is>
          <t>同上</t>
        </is>
      </c>
      <c r="D92" s="62" t="inlineStr">
        <is>
          <t>SWCLK</t>
        </is>
      </c>
    </row>
    <row r="93" ht="17.25" customHeight="1" s="49">
      <c r="A93" s="62" t="inlineStr">
        <is>
          <t>J6 pin4</t>
        </is>
      </c>
      <c r="B93" s="62" t="inlineStr">
        <is>
          <t>(105.28, 129.70)</t>
        </is>
      </c>
      <c r="C93" s="63" t="inlineStr">
        <is>
          <t>同上</t>
        </is>
      </c>
      <c r="D93" s="62" t="inlineStr">
        <is>
          <t>NRST</t>
        </is>
      </c>
    </row>
    <row r="94" ht="17.25" customHeight="1" s="49">
      <c r="A94" s="62" t="inlineStr">
        <is>
          <t>J6 pin5</t>
        </is>
      </c>
      <c r="B94" s="62" t="inlineStr">
        <is>
          <t>(105.28, 132.24)</t>
        </is>
      </c>
      <c r="C94" s="63" t="inlineStr">
        <is>
          <t>同上</t>
        </is>
      </c>
      <c r="D94" s="62" t="inlineStr">
        <is>
          <t>GND</t>
        </is>
      </c>
    </row>
    <row r="95" ht="31.5" customHeight="1" s="49">
      <c r="A95" s="63" t="inlineStr">
        <is>
          <t>位置決め 1</t>
        </is>
      </c>
      <c r="B95" s="63" t="inlineStr">
        <is>
          <t>基板左辺 x = 101.485</t>
        </is>
      </c>
      <c r="C95" s="62" t="inlineStr">
        <is>
          <t>y 45.9〜143.4 が直線。J6 まで 3.795mm</t>
        </is>
      </c>
      <c r="D95" s="63" t="inlineStr">
        <is>
          <t>面で当てて X と回転を拘束</t>
        </is>
      </c>
    </row>
    <row r="96" ht="31.5" customHeight="1" s="49">
      <c r="A96" s="63" t="inlineStr">
        <is>
          <t>位置決め 2</t>
        </is>
      </c>
      <c r="B96" s="62" t="inlineStr">
        <is>
          <t>(104.03, 143.00)</t>
        </is>
      </c>
      <c r="C96" s="63" t="inlineStr">
        <is>
          <t>取付穴 φ3.2</t>
        </is>
      </c>
      <c r="D96" s="62" t="inlineStr">
        <is>
          <t>φ3.0 ダウエルピンで Y を拘束</t>
        </is>
      </c>
    </row>
    <row r="97" ht="31.5" customHeight="1" s="49">
      <c r="A97" s="63" t="inlineStr">
        <is>
          <t>（参考）TP17</t>
        </is>
      </c>
      <c r="B97" s="62" t="inlineStr">
        <is>
          <t>(104.83, 116.49)</t>
        </is>
      </c>
      <c r="C97" s="62" t="inlineStr">
        <is>
          <t>GND、スルーホール φ1.0</t>
        </is>
      </c>
      <c r="D97" s="63" t="inlineStr">
        <is>
          <t>必要なら GND の 2 点目として</t>
        </is>
      </c>
    </row>
    <row r="98" ht="31.5" customHeight="1" s="49">
      <c r="A98" s="63" t="inlineStr">
        <is>
          <t>（参考）TP24</t>
        </is>
      </c>
      <c r="B98" s="62" t="inlineStr">
        <is>
          <t>(104.75, 113.56)</t>
        </is>
      </c>
      <c r="C98" s="62" t="inlineStr">
        <is>
          <t>+3V3、SMD φ1.5（表面）</t>
        </is>
      </c>
      <c r="D98" s="63" t="inlineStr">
        <is>
          <t>裏面からは接触できない</t>
        </is>
      </c>
    </row>
    <row r="99"/>
    <row r="100" ht="17.25" customHeight="1" s="49">
      <c r="A100" s="74" t="inlineStr">
        <is>
          <t>治具・機材の部品表</t>
        </is>
      </c>
    </row>
    <row r="101" ht="17.25" customHeight="1" s="49">
      <c r="A101" s="75" t="inlineStr">
        <is>
          <t>部品</t>
        </is>
      </c>
      <c r="B101" s="75" t="inlineStr">
        <is>
          <t>型番 / 仕様</t>
        </is>
      </c>
      <c r="C101" s="75" t="inlineStr">
        <is>
          <t>数量</t>
        </is>
      </c>
      <c r="D101" s="75" t="inlineStr">
        <is>
          <t>入手先</t>
        </is>
      </c>
      <c r="E101" s="75" t="inlineStr">
        <is>
          <t>参考価格</t>
        </is>
      </c>
    </row>
    <row r="102" ht="60.75" customHeight="1" s="49">
      <c r="A102" s="63" t="inlineStr">
        <is>
          <t>コンタクトプローブ</t>
        </is>
      </c>
      <c r="B102" s="62" t="inlineStr">
        <is>
          <t>MISUMI エコノミー 2.54mm ピッチ NPT2-D（球状 SR、プランジャ φ1.27）</t>
        </is>
      </c>
      <c r="C102" s="62" t="inlineStr">
        <is>
          <t>50 本入 × 1</t>
        </is>
      </c>
      <c r="D102" s="62" t="inlineStr">
        <is>
          <t>MISUMI 110302582670</t>
        </is>
      </c>
      <c r="E102" s="62" t="inlineStr">
        <is>
          <t>1,980 円（税別）</t>
        </is>
      </c>
    </row>
    <row r="103" ht="46.5" customHeight="1" s="49">
      <c r="A103" s="63" t="inlineStr">
        <is>
          <t>（予備）プローブ</t>
        </is>
      </c>
      <c r="B103" s="63" t="inlineStr">
        <is>
          <t>同 NPT2-B（ニードル、φ1.06）。穴にフラックス残渣がある場合用</t>
        </is>
      </c>
      <c r="C103" s="62" t="inlineStr">
        <is>
          <t>50 本入 × 1</t>
        </is>
      </c>
      <c r="D103" s="62" t="inlineStr">
        <is>
          <t>MISUMI</t>
        </is>
      </c>
      <c r="E103" s="63" t="inlineStr">
        <is>
          <t>約 2,000 円</t>
        </is>
      </c>
    </row>
    <row r="104" ht="31.5" customHeight="1" s="49">
      <c r="A104" s="63" t="inlineStr">
        <is>
          <t>レセプタクル</t>
        </is>
      </c>
      <c r="B104" s="62" t="inlineStr">
        <is>
          <t>MISUMI NRT2-CR（外径 1.82mm、圧入穴 φ1.75）</t>
        </is>
      </c>
      <c r="C104" s="62" t="inlineStr">
        <is>
          <t>50 本入 × 1</t>
        </is>
      </c>
      <c r="D104" s="62" t="inlineStr">
        <is>
          <t>MISUMI</t>
        </is>
      </c>
      <c r="E104" s="62" t="inlineStr">
        <is>
          <t>1,800 円（税別）</t>
        </is>
      </c>
    </row>
    <row r="105" ht="46.5" customHeight="1" s="49">
      <c r="A105" s="63" t="inlineStr">
        <is>
          <t>アダプタ基板</t>
        </is>
      </c>
      <c r="B105" s="62" t="inlineStr">
        <is>
          <t>FR4 1.6mm。φ1.75 穴 5 個を 2.54mm ピッチ。30 × 30mm 程度</t>
        </is>
      </c>
      <c r="C105" s="62" t="inlineStr">
        <is>
          <t>5 枚</t>
        </is>
      </c>
      <c r="D105" s="62" t="inlineStr">
        <is>
          <t>JLCPCB</t>
        </is>
      </c>
      <c r="E105" s="63" t="inlineStr">
        <is>
          <t>約 $2</t>
        </is>
      </c>
    </row>
    <row r="106" ht="31.5" customHeight="1" s="49">
      <c r="A106" s="63" t="inlineStr">
        <is>
          <t>ダウエルピン</t>
        </is>
      </c>
      <c r="B106" s="62" t="inlineStr">
        <is>
          <t>φ3 h7 ストレート</t>
        </is>
      </c>
      <c r="C106" s="62" t="inlineStr">
        <is>
          <t>1 本</t>
        </is>
      </c>
      <c r="D106" s="62" t="inlineStr">
        <is>
          <t>MISUMI</t>
        </is>
      </c>
      <c r="E106" s="62" t="inlineStr">
        <is>
          <t>—</t>
        </is>
      </c>
    </row>
    <row r="107" ht="31.5" customHeight="1" s="49">
      <c r="A107" s="63" t="inlineStr">
        <is>
          <t>ライタ</t>
        </is>
      </c>
      <c r="B107" s="62" t="inlineStr">
        <is>
          <t>STLINK-V3MINIE（＋予備 1 台）</t>
        </is>
      </c>
      <c r="C107" s="62" t="inlineStr">
        <is>
          <t>2 台</t>
        </is>
      </c>
      <c r="D107" s="62" t="inlineStr">
        <is>
          <t>RS / Mouser / 秋月</t>
        </is>
      </c>
      <c r="E107" s="63" t="inlineStr">
        <is>
          <t>約 2,000 円/台</t>
        </is>
      </c>
    </row>
    <row r="108" ht="46.5" customHeight="1" s="49">
      <c r="A108" s="63" t="inlineStr">
        <is>
          <t>変換アダプタ</t>
        </is>
      </c>
      <c r="B108" s="62" t="inlineStr">
        <is>
          <t>STDC14 → 2.54mm（または STDC14 → MIPI10 → 2.54mm）</t>
        </is>
      </c>
      <c r="C108" s="62" t="inlineStr">
        <is>
          <t>1 式</t>
        </is>
      </c>
      <c r="D108" s="62" t="inlineStr">
        <is>
          <t>—</t>
        </is>
      </c>
      <c r="E108" s="62" t="inlineStr">
        <is>
          <t>—</t>
        </is>
      </c>
    </row>
    <row r="109" ht="46.5" customHeight="1" s="49">
      <c r="A109" s="62" t="inlineStr">
        <is>
          <t>J4 ループバックプラグ</t>
        </is>
      </c>
      <c r="B109" s="62" t="inlineStr">
        <is>
          <t>JST XA 4 極ハウジング＋圧着端子。pin3 − pin4 を短絡</t>
        </is>
      </c>
      <c r="C109" s="62" t="inlineStr">
        <is>
          <t>2 個</t>
        </is>
      </c>
      <c r="D109" s="62" t="inlineStr">
        <is>
          <t>—</t>
        </is>
      </c>
      <c r="E109" s="62" t="inlineStr">
        <is>
          <t>—</t>
        </is>
      </c>
    </row>
    <row r="110" ht="31.5" customHeight="1" s="49">
      <c r="A110" s="62" t="inlineStr">
        <is>
          <t>XT60 電源リード</t>
        </is>
      </c>
      <c r="B110" s="62" t="inlineStr">
        <is>
          <t>XT60 メス ＋ バナナ。可変電源用</t>
        </is>
      </c>
      <c r="C110" s="62" t="inlineStr">
        <is>
          <t>1 本</t>
        </is>
      </c>
      <c r="D110" s="62" t="inlineStr">
        <is>
          <t>—</t>
        </is>
      </c>
      <c r="E110" s="62" t="inlineStr">
        <is>
          <t>—</t>
        </is>
      </c>
    </row>
    <row r="111" ht="31.5" customHeight="1" s="49">
      <c r="A111" s="63" t="inlineStr">
        <is>
          <t>可変電源</t>
        </is>
      </c>
      <c r="B111" s="62" t="inlineStr">
        <is>
          <t>0〜30V / 電流制限 0.2A が設定できるもの</t>
        </is>
      </c>
      <c r="C111" s="62" t="inlineStr">
        <is>
          <t>1 台</t>
        </is>
      </c>
      <c r="D111" s="62" t="inlineStr">
        <is>
          <t>—</t>
        </is>
      </c>
      <c r="E111" s="62" t="inlineStr">
        <is>
          <t>—</t>
        </is>
      </c>
    </row>
    <row r="112" ht="17.25" customHeight="1" s="49">
      <c r="A112" s="62" t="inlineStr">
        <is>
          <t>DMM</t>
        </is>
      </c>
      <c r="B112" s="63" t="inlineStr">
        <is>
          <t>抵抗レンジと DC 電圧</t>
        </is>
      </c>
      <c r="C112" s="62" t="inlineStr">
        <is>
          <t>1 台</t>
        </is>
      </c>
      <c r="D112" s="62" t="inlineStr">
        <is>
          <t>—</t>
        </is>
      </c>
      <c r="E112" s="62" t="inlineStr">
        <is>
          <t>—</t>
        </is>
      </c>
    </row>
    <row r="113" ht="17.25" customHeight="1" s="49">
      <c r="A113" s="63" t="inlineStr">
        <is>
          <t>ルーペ</t>
        </is>
      </c>
      <c r="B113" s="62" t="inlineStr">
        <is>
          <t>8〜10 倍、LED 付</t>
        </is>
      </c>
      <c r="C113" s="62" t="inlineStr">
        <is>
          <t>1 個</t>
        </is>
      </c>
      <c r="D113" s="62" t="inlineStr">
        <is>
          <t>—</t>
        </is>
      </c>
      <c r="E113" s="62" t="inlineStr">
        <is>
          <t>—</t>
        </is>
      </c>
    </row>
    <row r="114"/>
    <row r="115" ht="31.5" customHeight="1" s="49">
      <c r="A115" s="70" t="inlineStr">
        <is>
          <t>※ プローブの押し付け力は 5 本 × 113 gf ＝ 約 5.5N。片手で押し当てられる力なので、まずはベースプレートもクランプも無しの「手持ちアダプタ」で始めてください。面倒になったらトグルクランプ式に移行します。</t>
        </is>
      </c>
    </row>
    <row r="116" ht="31.5" customHeight="1" s="49">
      <c r="A116" s="69" t="inlineStr">
        <is>
          <t>※ NPT2-D（球状 SR、φ1.27mm）はプランジャが φ1.0mm の穴より大きく、穴の口に座って自己調心します。横方向の許容は ±0.5mm 程度あり、治具の精度要求が緩くなります。基板は ENIG（平坦な金めっき）なので酸化膜を破る必要がなく、球状で十分な接触が得られます。</t>
        </is>
      </c>
    </row>
    <row r="117" ht="17.25" customHeight="1" s="49">
      <c r="A117" s="70" t="inlineStr">
        <is>
          <t>※ レセプタクル外径 1.82mm を 2.54mm ピッチで並べると隣との肉厚が 0.72mm になります。アクリル板では割れるので、保持板は PCB（FR4 1.6mm）で作ってください。</t>
        </is>
      </c>
    </row>
    <row r="118" ht="17.25" customHeight="1" s="49">
      <c r="A118" s="70" t="inlineStr">
        <is>
          <t>※ プローブの寿命は 200,000 回。300 枚なら 0.15% しか使いません。消耗は考慮不要です。</t>
        </is>
      </c>
    </row>
    <row r="119" ht="31.5" customHeight="1" s="49">
      <c r="A119" s="59" t="inlineStr">
        <is>
          <t>★ ベースプレート式にする場合、支持ポストは裏面に突き出る THT リード 37 箇所（J8 の 2 本を含む）を避けてください。推奨位置は (176.5, 96.9) / (150.5, 102.9) / (124.5, 104.9) / (112.0, 120.0) です。最後の 1 点だけ最寄りの THT まで約 7mm しかないので、φ4mm 以下のナイロンまたは POM 製にしてください。</t>
        </is>
      </c>
    </row>
  </sheetData>
  <mergeCells count="29">
    <mergeCell ref="A41:I41"/>
    <mergeCell ref="A75:I75"/>
    <mergeCell ref="A84:I84"/>
    <mergeCell ref="A118:I118"/>
    <mergeCell ref="A56:I56"/>
    <mergeCell ref="A74:I74"/>
    <mergeCell ref="A86:I86"/>
    <mergeCell ref="A2:I2"/>
    <mergeCell ref="A85:I85"/>
    <mergeCell ref="A42:I42"/>
    <mergeCell ref="A116:I116"/>
    <mergeCell ref="A4:I4"/>
    <mergeCell ref="A100:I100"/>
    <mergeCell ref="A38:I38"/>
    <mergeCell ref="A43:I43"/>
    <mergeCell ref="A28:I28"/>
    <mergeCell ref="A115:I115"/>
    <mergeCell ref="A117:I117"/>
    <mergeCell ref="A40:I40"/>
    <mergeCell ref="A67:I67"/>
    <mergeCell ref="A77:I77"/>
    <mergeCell ref="A39:I39"/>
    <mergeCell ref="A83:I83"/>
    <mergeCell ref="A15:I15"/>
    <mergeCell ref="A82:I82"/>
    <mergeCell ref="A73:I73"/>
    <mergeCell ref="A45:I45"/>
    <mergeCell ref="A88:I88"/>
    <mergeCell ref="A119:I119"/>
  </mergeCells>
  <dataValidations count="1">
    <dataValidation sqref="H30:H36" showDropDown="0" showInputMessage="0" showErrorMessage="0" allowBlank="1" type="list" errorStyle="stop" operator="between">
      <formula1>"OK,NG,未実施"</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F6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48" min="1" max="1"/>
    <col width="30" customWidth="1" style="48" min="2" max="2"/>
    <col width="34" customWidth="1" style="48" min="3" max="3"/>
    <col width="18" customWidth="1" style="48" min="4" max="4"/>
    <col width="16" customWidth="1" style="48" min="5" max="5"/>
    <col width="30" customWidth="1" style="48" min="6" max="6"/>
  </cols>
  <sheetData>
    <row r="1" ht="21.6" customHeight="1" s="49">
      <c r="A1" s="50" t="inlineStr">
        <is>
          <t>13_量産記録</t>
        </is>
      </c>
    </row>
    <row r="2" ht="14.15" customHeight="1" s="49">
      <c r="A2" s="79" t="inlineStr">
        <is>
          <t>全数検査の 1 枚ごとの結果はスクリプトが CSV に出力する。本シートにはロット単位の集計と、抜取り検査の記録を残す。</t>
        </is>
      </c>
    </row>
    <row r="4" ht="17.15" customHeight="1" s="49">
      <c r="A4" s="52" t="inlineStr">
        <is>
          <t>ロット記録（1 ロットにつき 1 枚このシートを複製する）</t>
        </is>
      </c>
    </row>
    <row r="5" ht="25.5" customHeight="1" s="49">
      <c r="A5" s="61" t="inlineStr">
        <is>
          <t>項目</t>
        </is>
      </c>
      <c r="B5" s="61" t="inlineStr">
        <is>
          <t>内容</t>
        </is>
      </c>
    </row>
    <row r="6" ht="17.25" customHeight="1" s="49">
      <c r="A6" s="63" t="inlineStr">
        <is>
          <t>ロット番号</t>
        </is>
      </c>
      <c r="B6" s="80" t="n"/>
    </row>
    <row r="7" ht="17.25" customHeight="1" s="49">
      <c r="A7" s="63" t="inlineStr">
        <is>
          <t>数量</t>
        </is>
      </c>
      <c r="B7" s="80" t="n"/>
    </row>
    <row r="8" ht="17.25" customHeight="1" s="49">
      <c r="A8" s="62" t="inlineStr">
        <is>
          <t>PCBA 受入日</t>
        </is>
      </c>
      <c r="B8" s="80" t="n"/>
    </row>
    <row r="9" ht="17.25" customHeight="1" s="49">
      <c r="A9" s="63" t="inlineStr">
        <is>
          <t>書き込み実施日</t>
        </is>
      </c>
      <c r="B9" s="80" t="n"/>
    </row>
    <row r="10" ht="17.25" customHeight="1" s="49">
      <c r="A10" s="62" t="inlineStr">
        <is>
          <t>FW ファイル名</t>
        </is>
      </c>
      <c r="B10" s="80" t="n"/>
    </row>
    <row r="11" ht="31.5" customHeight="1" s="49">
      <c r="A11" s="62" t="inlineStr">
        <is>
          <t>FW ハッシュ（SHA-256 先頭16桁）</t>
        </is>
      </c>
      <c r="B11" s="80" t="n"/>
    </row>
    <row r="12" ht="17.25" customHeight="1" s="49">
      <c r="A12" s="62" t="inlineStr">
        <is>
          <t>RDP レベル</t>
        </is>
      </c>
      <c r="B12" s="80" t="inlineStr">
        <is>
          <t>1</t>
        </is>
      </c>
    </row>
    <row r="13" ht="17.25" customHeight="1" s="49">
      <c r="A13" s="63" t="inlineStr">
        <is>
          <t>作業者</t>
        </is>
      </c>
      <c r="B13" s="80" t="n"/>
    </row>
    <row r="14" ht="17.25" customHeight="1" s="49">
      <c r="A14" s="63" t="inlineStr">
        <is>
          <t>全数 合格数</t>
        </is>
      </c>
      <c r="B14" s="80" t="n"/>
    </row>
    <row r="15" ht="17.25" customHeight="1" s="49">
      <c r="A15" s="63" t="inlineStr">
        <is>
          <t>全数 不合格数</t>
        </is>
      </c>
      <c r="B15" s="80" t="n"/>
    </row>
    <row r="16" ht="17.25" customHeight="1" s="49">
      <c r="A16" s="63" t="inlineStr">
        <is>
          <t>抜取り A 実施枚数</t>
        </is>
      </c>
      <c r="B16" s="80" t="n"/>
    </row>
    <row r="17" ht="17.25" customHeight="1" s="49">
      <c r="A17" s="63" t="inlineStr">
        <is>
          <t>抜取り B 実施枚数</t>
        </is>
      </c>
      <c r="B17" s="80" t="n"/>
    </row>
    <row r="18" ht="17.25" customHeight="1" s="49">
      <c r="A18" s="63" t="inlineStr">
        <is>
          <t>総合判定</t>
        </is>
      </c>
      <c r="B18" s="80" t="n"/>
    </row>
    <row r="20" ht="17.15" customHeight="1" s="49">
      <c r="A20" s="52" t="inlineStr">
        <is>
          <t>全数検査ログ（CSV）の列定義 — スクリプトが自動出力する</t>
        </is>
      </c>
    </row>
    <row r="21" ht="25.5" customHeight="1" s="49">
      <c r="A21" s="61" t="inlineStr">
        <is>
          <t>列</t>
        </is>
      </c>
      <c r="B21" s="61" t="inlineStr">
        <is>
          <t>内容</t>
        </is>
      </c>
      <c r="C21" s="61" t="inlineStr">
        <is>
          <t>例</t>
        </is>
      </c>
    </row>
    <row r="22" ht="17.25" customHeight="1" s="49">
      <c r="A22" s="62" t="inlineStr">
        <is>
          <t>1 連番</t>
        </is>
      </c>
      <c r="B22" s="63" t="inlineStr">
        <is>
          <t>ロット内の通し番号</t>
        </is>
      </c>
      <c r="C22" s="62" t="inlineStr">
        <is>
          <t>001</t>
        </is>
      </c>
    </row>
    <row r="23" ht="17.25" customHeight="1" s="49">
      <c r="A23" s="62" t="inlineStr">
        <is>
          <t>2 日時</t>
        </is>
      </c>
      <c r="B23" s="62" t="inlineStr">
        <is>
          <t>ISO 8601</t>
        </is>
      </c>
      <c r="C23" s="62" t="inlineStr">
        <is>
          <t>2026-11-05T10:23:41+09:00</t>
        </is>
      </c>
    </row>
    <row r="24" ht="17.25" customHeight="1" s="49">
      <c r="A24" s="62" t="inlineStr">
        <is>
          <t>3 ロット番号</t>
        </is>
      </c>
      <c r="B24" s="63" t="inlineStr">
        <is>
          <t>製造ロット</t>
        </is>
      </c>
      <c r="C24" s="62" t="inlineStr">
        <is>
          <t>MGPC-V300-L01</t>
        </is>
      </c>
    </row>
    <row r="25" ht="31.5" customHeight="1" s="49">
      <c r="A25" s="62" t="inlineStr">
        <is>
          <t>4 UID</t>
        </is>
      </c>
      <c r="B25" s="62" t="inlineStr">
        <is>
          <t>STM32 の 96bit 固有 ID（16 進 24 桁）</t>
        </is>
      </c>
      <c r="C25" s="62" t="inlineStr">
        <is>
          <t>0A1B2C3D4E5F60718293A4B5</t>
        </is>
      </c>
    </row>
    <row r="26" ht="17.25" customHeight="1" s="49">
      <c r="A26" s="62" t="inlineStr">
        <is>
          <t>5 FW ファイル名</t>
        </is>
      </c>
      <c r="B26" s="63" t="inlineStr">
        <is>
          <t>書き込んだ hex のファイル名</t>
        </is>
      </c>
      <c r="C26" s="62" t="inlineStr">
        <is>
          <t>mgpc_v1.0.0.hex</t>
        </is>
      </c>
    </row>
    <row r="27" ht="31.5" customHeight="1" s="49">
      <c r="A27" s="62" t="inlineStr">
        <is>
          <t>6 FW ハッシュ</t>
        </is>
      </c>
      <c r="B27" s="62" t="inlineStr">
        <is>
          <t>hex ファイルの SHA-256（先頭 16 桁）</t>
        </is>
      </c>
      <c r="C27" s="62" t="inlineStr">
        <is>
          <t>3f9a1c7e2b4d8056</t>
        </is>
      </c>
    </row>
    <row r="28" ht="17.25" customHeight="1" s="49">
      <c r="A28" s="62" t="inlineStr">
        <is>
          <t>7 書き込み結果</t>
        </is>
      </c>
      <c r="B28" s="62" t="inlineStr">
        <is>
          <t>PASS / FAIL</t>
        </is>
      </c>
      <c r="C28" s="62" t="inlineStr">
        <is>
          <t>PASS</t>
        </is>
      </c>
    </row>
    <row r="29" ht="17.25" customHeight="1" s="49">
      <c r="A29" s="62" t="inlineStr">
        <is>
          <t>8 ベリファイ結果</t>
        </is>
      </c>
      <c r="B29" s="62" t="inlineStr">
        <is>
          <t>PASS / FAIL</t>
        </is>
      </c>
      <c r="C29" s="62" t="inlineStr">
        <is>
          <t>PASS</t>
        </is>
      </c>
    </row>
    <row r="30" ht="17.25" customHeight="1" s="49">
      <c r="A30" s="62" t="inlineStr">
        <is>
          <t>9 RDP</t>
        </is>
      </c>
      <c r="B30" s="63" t="inlineStr">
        <is>
          <t>設定後のレベル</t>
        </is>
      </c>
      <c r="C30" s="62" t="inlineStr">
        <is>
          <t>1</t>
        </is>
      </c>
    </row>
    <row r="31" ht="17.25" customHeight="1" s="49">
      <c r="A31" s="62" t="inlineStr">
        <is>
          <t>10 再試行回数</t>
        </is>
      </c>
      <c r="B31" s="62" t="inlineStr">
        <is>
          <t>0〜2</t>
        </is>
      </c>
      <c r="C31" s="62" t="inlineStr">
        <is>
          <t>0</t>
        </is>
      </c>
    </row>
    <row r="32" ht="17.25" customHeight="1" s="49">
      <c r="A32" s="62" t="inlineStr">
        <is>
          <t>11 P-1〜P-7 判定</t>
        </is>
      </c>
      <c r="B32" s="62" t="inlineStr">
        <is>
          <t>7 項目の OK / NG をカンマ区切り</t>
        </is>
      </c>
      <c r="C32" s="62" t="inlineStr">
        <is>
          <t>OK,OK,OK,OK,OK,OK,OK</t>
        </is>
      </c>
    </row>
    <row r="33" ht="17.25" customHeight="1" s="49">
      <c r="A33" s="62" t="inlineStr">
        <is>
          <t>12 作業者</t>
        </is>
      </c>
      <c r="B33" s="63" t="inlineStr">
        <is>
          <t>イニシャル等</t>
        </is>
      </c>
      <c r="C33" s="62" t="inlineStr">
        <is>
          <t>TK</t>
        </is>
      </c>
    </row>
    <row r="34" ht="17.25" customHeight="1" s="49">
      <c r="A34" s="62" t="inlineStr">
        <is>
          <t>13 備考</t>
        </is>
      </c>
      <c r="B34" s="62" t="inlineStr">
        <is>
          <t>NG 内容・是正内容</t>
        </is>
      </c>
      <c r="C34" s="62" t="inlineStr">
        <is>
          <t>—</t>
        </is>
      </c>
    </row>
    <row r="36" ht="17.15" customHeight="1" s="49">
      <c r="A36" s="52" t="inlineStr">
        <is>
          <t>抜取り検査の記録（15 枚）</t>
        </is>
      </c>
    </row>
    <row r="37" ht="25.5" customHeight="1" s="49">
      <c r="A37" s="65" t="inlineStr">
        <is>
          <t>No.</t>
        </is>
      </c>
      <c r="B37" s="61" t="inlineStr">
        <is>
          <t>基板 UID 下6桁</t>
        </is>
      </c>
      <c r="C37" s="61" t="inlineStr">
        <is>
          <t>レベル</t>
        </is>
      </c>
      <c r="D37" s="61" t="inlineStr">
        <is>
          <t>実施日</t>
        </is>
      </c>
      <c r="E37" s="61" t="inlineStr">
        <is>
          <t>判定</t>
        </is>
      </c>
      <c r="F37" s="65" t="inlineStr">
        <is>
          <t>NG 項目・是正内容</t>
        </is>
      </c>
    </row>
    <row r="38" ht="17.25" customHeight="1" s="49">
      <c r="A38" s="62" t="inlineStr">
        <is>
          <t>1</t>
        </is>
      </c>
      <c r="B38" s="80" t="n"/>
      <c r="C38" s="62" t="inlineStr">
        <is>
          <t>A</t>
        </is>
      </c>
      <c r="D38" s="80" t="n"/>
      <c r="E38" s="80" t="n"/>
      <c r="F38" s="80" t="n"/>
    </row>
    <row r="39" ht="17.25" customHeight="1" s="49">
      <c r="A39" s="62" t="inlineStr">
        <is>
          <t>2</t>
        </is>
      </c>
      <c r="B39" s="80" t="n"/>
      <c r="C39" s="62" t="inlineStr">
        <is>
          <t>A</t>
        </is>
      </c>
      <c r="D39" s="80" t="n"/>
      <c r="E39" s="80" t="n"/>
      <c r="F39" s="80" t="n"/>
    </row>
    <row r="40" ht="17.25" customHeight="1" s="49">
      <c r="A40" s="62" t="inlineStr">
        <is>
          <t>3</t>
        </is>
      </c>
      <c r="B40" s="80" t="n"/>
      <c r="C40" s="62" t="inlineStr">
        <is>
          <t>A</t>
        </is>
      </c>
      <c r="D40" s="80" t="n"/>
      <c r="E40" s="80" t="n"/>
      <c r="F40" s="80" t="n"/>
    </row>
    <row r="41" ht="17.25" customHeight="1" s="49">
      <c r="A41" s="62" t="inlineStr">
        <is>
          <t>4</t>
        </is>
      </c>
      <c r="B41" s="80" t="n"/>
      <c r="C41" s="62" t="inlineStr">
        <is>
          <t>A</t>
        </is>
      </c>
      <c r="D41" s="80" t="n"/>
      <c r="E41" s="80" t="n"/>
      <c r="F41" s="80" t="n"/>
    </row>
    <row r="42" ht="17.25" customHeight="1" s="49">
      <c r="A42" s="62" t="inlineStr">
        <is>
          <t>5</t>
        </is>
      </c>
      <c r="B42" s="80" t="n"/>
      <c r="C42" s="62" t="inlineStr">
        <is>
          <t>A</t>
        </is>
      </c>
      <c r="D42" s="80" t="n"/>
      <c r="E42" s="80" t="n"/>
      <c r="F42" s="80" t="n"/>
    </row>
    <row r="43" ht="17.25" customHeight="1" s="49">
      <c r="A43" s="62" t="inlineStr">
        <is>
          <t>6</t>
        </is>
      </c>
      <c r="B43" s="80" t="n"/>
      <c r="C43" s="62" t="inlineStr">
        <is>
          <t>B</t>
        </is>
      </c>
      <c r="D43" s="80" t="n"/>
      <c r="E43" s="80" t="n"/>
      <c r="F43" s="80" t="n"/>
    </row>
    <row r="44" ht="17.25" customHeight="1" s="49">
      <c r="A44" s="62" t="inlineStr">
        <is>
          <t>7</t>
        </is>
      </c>
      <c r="B44" s="80" t="n"/>
      <c r="C44" s="62" t="inlineStr">
        <is>
          <t>B</t>
        </is>
      </c>
      <c r="D44" s="80" t="n"/>
      <c r="E44" s="80" t="n"/>
      <c r="F44" s="80" t="n"/>
    </row>
    <row r="45" ht="17.25" customHeight="1" s="49">
      <c r="A45" s="62" t="inlineStr">
        <is>
          <t>8</t>
        </is>
      </c>
      <c r="B45" s="80" t="n"/>
      <c r="C45" s="62" t="inlineStr">
        <is>
          <t>B</t>
        </is>
      </c>
      <c r="D45" s="80" t="n"/>
      <c r="E45" s="80" t="n"/>
      <c r="F45" s="80" t="n"/>
    </row>
    <row r="46" ht="17.25" customHeight="1" s="49">
      <c r="A46" s="62" t="inlineStr">
        <is>
          <t>9</t>
        </is>
      </c>
      <c r="B46" s="80" t="n"/>
      <c r="C46" s="62" t="inlineStr">
        <is>
          <t>B</t>
        </is>
      </c>
      <c r="D46" s="80" t="n"/>
      <c r="E46" s="80" t="n"/>
      <c r="F46" s="80" t="n"/>
    </row>
    <row r="47" ht="17.25" customHeight="1" s="49">
      <c r="A47" s="62" t="inlineStr">
        <is>
          <t>10</t>
        </is>
      </c>
      <c r="B47" s="80" t="n"/>
      <c r="C47" s="62" t="inlineStr">
        <is>
          <t>B</t>
        </is>
      </c>
      <c r="D47" s="80" t="n"/>
      <c r="E47" s="80" t="n"/>
      <c r="F47" s="80" t="n"/>
    </row>
    <row r="48" ht="17.25" customHeight="1" s="49">
      <c r="A48" s="62" t="inlineStr">
        <is>
          <t>11</t>
        </is>
      </c>
      <c r="B48" s="80" t="n"/>
      <c r="C48" s="62" t="inlineStr">
        <is>
          <t>B</t>
        </is>
      </c>
      <c r="D48" s="80" t="n"/>
      <c r="E48" s="80" t="n"/>
      <c r="F48" s="80" t="n"/>
    </row>
    <row r="49" ht="17.25" customHeight="1" s="49">
      <c r="A49" s="62" t="inlineStr">
        <is>
          <t>12</t>
        </is>
      </c>
      <c r="B49" s="80" t="n"/>
      <c r="C49" s="62" t="inlineStr">
        <is>
          <t>B</t>
        </is>
      </c>
      <c r="D49" s="80" t="n"/>
      <c r="E49" s="80" t="n"/>
      <c r="F49" s="80" t="n"/>
    </row>
    <row r="50" ht="17.25" customHeight="1" s="49">
      <c r="A50" s="62" t="inlineStr">
        <is>
          <t>13</t>
        </is>
      </c>
      <c r="B50" s="80" t="n"/>
      <c r="C50" s="62" t="inlineStr">
        <is>
          <t>B</t>
        </is>
      </c>
      <c r="D50" s="80" t="n"/>
      <c r="E50" s="80" t="n"/>
      <c r="F50" s="80" t="n"/>
    </row>
    <row r="51" ht="17.25" customHeight="1" s="49">
      <c r="A51" s="62" t="inlineStr">
        <is>
          <t>14</t>
        </is>
      </c>
      <c r="B51" s="80" t="n"/>
      <c r="C51" s="62" t="inlineStr">
        <is>
          <t>B</t>
        </is>
      </c>
      <c r="D51" s="80" t="n"/>
      <c r="E51" s="80" t="n"/>
      <c r="F51" s="80" t="n"/>
    </row>
    <row r="52" ht="17.25" customHeight="1" s="49">
      <c r="A52" s="62" t="inlineStr">
        <is>
          <t>15</t>
        </is>
      </c>
      <c r="B52" s="80" t="n"/>
      <c r="C52" s="62" t="inlineStr">
        <is>
          <t>B</t>
        </is>
      </c>
      <c r="D52" s="80" t="n"/>
      <c r="E52" s="80" t="n"/>
      <c r="F52" s="80" t="n"/>
    </row>
    <row r="54" ht="15" customHeight="1" s="49">
      <c r="A54" s="52" t="inlineStr">
        <is>
          <t>不適合記録</t>
        </is>
      </c>
    </row>
    <row r="55" ht="25.5" customHeight="1" s="49">
      <c r="A55" s="61" t="inlineStr">
        <is>
          <t>日付</t>
        </is>
      </c>
      <c r="B55" s="61" t="inlineStr">
        <is>
          <t>基板 UID 下6桁</t>
        </is>
      </c>
      <c r="C55" s="61" t="inlineStr">
        <is>
          <t>不適合の内容</t>
        </is>
      </c>
      <c r="D55" s="61" t="inlineStr">
        <is>
          <t>原因</t>
        </is>
      </c>
      <c r="E55" s="61" t="inlineStr">
        <is>
          <t>是正処置</t>
        </is>
      </c>
      <c r="F55" s="61" t="inlineStr">
        <is>
          <t>再試験結果</t>
        </is>
      </c>
    </row>
    <row r="56" ht="15" customHeight="1" s="49">
      <c r="A56" s="80" t="n"/>
      <c r="B56" s="80" t="n"/>
      <c r="C56" s="80" t="n"/>
      <c r="D56" s="80" t="n"/>
      <c r="E56" s="80" t="n"/>
      <c r="F56" s="80" t="n"/>
    </row>
    <row r="57" ht="15" customHeight="1" s="49">
      <c r="A57" s="80" t="n"/>
      <c r="B57" s="80" t="n"/>
      <c r="C57" s="80" t="n"/>
      <c r="D57" s="80" t="n"/>
      <c r="E57" s="80" t="n"/>
      <c r="F57" s="80" t="n"/>
    </row>
    <row r="58" ht="15" customHeight="1" s="49">
      <c r="A58" s="80" t="n"/>
      <c r="B58" s="80" t="n"/>
      <c r="C58" s="80" t="n"/>
      <c r="D58" s="80" t="n"/>
      <c r="E58" s="80" t="n"/>
      <c r="F58" s="80" t="n"/>
    </row>
    <row r="59" ht="15" customHeight="1" s="49">
      <c r="A59" s="80" t="n"/>
      <c r="B59" s="80" t="n"/>
      <c r="C59" s="80" t="n"/>
      <c r="D59" s="80" t="n"/>
      <c r="E59" s="80" t="n"/>
      <c r="F59" s="80" t="n"/>
    </row>
    <row r="60" ht="15" customHeight="1" s="49">
      <c r="A60" s="80" t="n"/>
      <c r="B60" s="80" t="n"/>
      <c r="C60" s="80" t="n"/>
      <c r="D60" s="80" t="n"/>
      <c r="E60" s="80" t="n"/>
      <c r="F60" s="80" t="n"/>
    </row>
    <row r="61" ht="15" customHeight="1" s="49">
      <c r="A61" s="80" t="n"/>
      <c r="B61" s="80" t="n"/>
      <c r="C61" s="80" t="n"/>
      <c r="D61" s="80" t="n"/>
      <c r="E61" s="80" t="n"/>
      <c r="F61" s="80" t="n"/>
    </row>
    <row r="62" ht="15" customHeight="1" s="49">
      <c r="A62" s="80" t="n"/>
      <c r="B62" s="80" t="n"/>
      <c r="C62" s="80" t="n"/>
      <c r="D62" s="80" t="n"/>
      <c r="E62" s="80" t="n"/>
      <c r="F62" s="80" t="n"/>
    </row>
    <row r="63" ht="15" customHeight="1" s="49">
      <c r="A63" s="80" t="n"/>
      <c r="B63" s="80" t="n"/>
      <c r="C63" s="80" t="n"/>
      <c r="D63" s="80" t="n"/>
      <c r="E63" s="80" t="n"/>
      <c r="F63" s="80" t="n"/>
    </row>
    <row r="64" ht="15" customHeight="1" s="49">
      <c r="A64" s="80" t="n"/>
      <c r="B64" s="80" t="n"/>
      <c r="C64" s="80" t="n"/>
      <c r="D64" s="80" t="n"/>
      <c r="E64" s="80" t="n"/>
      <c r="F64" s="80" t="n"/>
    </row>
    <row r="65" ht="15" customHeight="1" s="49">
      <c r="A65" s="80" t="n"/>
      <c r="B65" s="80" t="n"/>
      <c r="C65" s="80" t="n"/>
      <c r="D65" s="80" t="n"/>
      <c r="E65" s="80" t="n"/>
      <c r="F65" s="80" t="n"/>
    </row>
    <row r="67" ht="17.25" customHeight="1" s="49">
      <c r="A67" s="70" t="inlineStr">
        <is>
          <t>※ 全数検査ログの CSV は、ロット単位でこのファイルと同じ場所に保存してください。ファイル名は「ロット番号_全数ログ.csv」とします。</t>
        </is>
      </c>
    </row>
    <row r="68" ht="17.25" customHeight="1" s="49">
      <c r="A68" s="69" t="inlineStr">
        <is>
          <t>※ ★P-4（未書込みで Vout が出ないこと）と ★P-7（非常停止）が NG の基板は、是正・再試験が完了するまで出荷禁止です。不適合記録に必ず残してください。</t>
        </is>
      </c>
    </row>
  </sheetData>
  <mergeCells count="7">
    <mergeCell ref="A4:B4"/>
    <mergeCell ref="A2:F2"/>
    <mergeCell ref="A54:F54"/>
    <mergeCell ref="A68:F68"/>
    <mergeCell ref="A36:F36"/>
    <mergeCell ref="A67:F67"/>
    <mergeCell ref="A20:F20"/>
  </mergeCells>
  <dataValidations count="1">
    <dataValidation sqref="E38:E52" showDropDown="0" showInputMessage="0" showErrorMessage="0" allowBlank="1" type="list" errorStyle="stop" operator="between">
      <formula1>"OK,NG,未実施"</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F5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48" min="1" max="1"/>
    <col width="20" customWidth="1" style="48" min="2" max="2"/>
    <col width="14" customWidth="1" style="48" min="3" max="3"/>
    <col width="12" customWidth="1" style="48" min="4" max="5"/>
    <col width="38" customWidth="1" style="48" min="6" max="6"/>
  </cols>
  <sheetData>
    <row r="1" ht="17.35" customHeight="1" s="49">
      <c r="A1" s="81" t="inlineStr">
        <is>
          <t>設計値と実測値の比較サマリ</t>
        </is>
      </c>
    </row>
    <row r="2" ht="15" customHeight="1" s="49">
      <c r="A2" s="79" t="inlineStr">
        <is>
          <t>各シートに入力すると自動で反映されます（灰色セル）。</t>
        </is>
      </c>
    </row>
    <row r="4" ht="24" customHeight="1" s="49">
      <c r="A4" s="61" t="inlineStr">
        <is>
          <t>項目</t>
        </is>
      </c>
      <c r="B4" s="61" t="inlineStr">
        <is>
          <t>設計値</t>
        </is>
      </c>
      <c r="C4" s="61" t="inlineStr">
        <is>
          <t>実測値</t>
        </is>
      </c>
      <c r="D4" s="61" t="inlineStr">
        <is>
          <t>差</t>
        </is>
      </c>
      <c r="E4" s="61" t="inlineStr">
        <is>
          <t>判定</t>
        </is>
      </c>
      <c r="F4" s="61" t="inlineStr">
        <is>
          <t>備考</t>
        </is>
      </c>
    </row>
    <row r="5" ht="15" customHeight="1" s="49">
      <c r="A5" s="82" t="inlineStr">
        <is>
          <t>3.3V レール出力</t>
        </is>
      </c>
      <c r="B5" s="82" t="inlineStr">
        <is>
          <t>3.307 V</t>
        </is>
      </c>
      <c r="C5" s="83">
        <f>'1_3.3V電源'!G5</f>
        <v/>
      </c>
      <c r="D5" s="84">
        <f>IF(ISNUMBER(C5),C5-3.307,"")</f>
        <v/>
      </c>
      <c r="E5" s="85" t="n"/>
      <c r="F5" s="86" t="n"/>
    </row>
    <row r="6" ht="15" customHeight="1" s="49">
      <c r="A6" s="82" t="inlineStr">
        <is>
          <t>3.3V リプル</t>
        </is>
      </c>
      <c r="B6" s="82" t="inlineStr">
        <is>
          <t>1.0 mVpp（上限 30）</t>
        </is>
      </c>
      <c r="C6" s="83">
        <f>'1_3.3V電源'!G7</f>
        <v/>
      </c>
      <c r="D6" s="84" t="inlineStr">
        <is>
          <t>—</t>
        </is>
      </c>
      <c r="E6" s="85" t="n"/>
      <c r="F6" s="87" t="inlineStr">
        <is>
          <t>グランドスプリング必須</t>
        </is>
      </c>
    </row>
    <row r="7" ht="15" customHeight="1" s="49">
      <c r="A7" s="88" t="inlineStr">
        <is>
          <t>スイッチング周波数</t>
        </is>
      </c>
      <c r="B7" s="82" t="inlineStr">
        <is>
          <t>700 kHz</t>
        </is>
      </c>
      <c r="C7" s="83">
        <f>'1_3.3V電源'!G8</f>
        <v/>
      </c>
      <c r="D7" s="84">
        <f>IF(ISNUMBER(C7),C7-700,"")</f>
        <v/>
      </c>
      <c r="E7" s="85" t="n"/>
      <c r="F7" s="86" t="inlineStr">
        <is>
          <t>X 版の確認</t>
        </is>
      </c>
    </row>
    <row r="8" ht="15" customHeight="1" s="49">
      <c r="A8" s="82" t="inlineStr">
        <is>
          <t>3.3V 負荷（運転時）</t>
        </is>
      </c>
      <c r="B8" s="82" t="inlineStr">
        <is>
          <t>8.0 mA</t>
        </is>
      </c>
      <c r="C8" s="83">
        <f>'1_3.3V電源'!G13</f>
        <v/>
      </c>
      <c r="D8" s="84">
        <f>IF(ISNUMBER(C8),C8-8.0,"")</f>
        <v/>
      </c>
      <c r="E8" s="85" t="n"/>
      <c r="F8" s="86" t="n"/>
    </row>
    <row r="9" ht="15" customHeight="1" s="49">
      <c r="A9" s="82" t="inlineStr">
        <is>
          <t>3.3V 負荷（遮断時）</t>
        </is>
      </c>
      <c r="B9" s="82" t="inlineStr">
        <is>
          <t>15.9 mA</t>
        </is>
      </c>
      <c r="C9" s="83">
        <f>'1_3.3V電源'!G12</f>
        <v/>
      </c>
      <c r="D9" s="84">
        <f>IF(ISNUMBER(C9),C9-15.9,"")</f>
        <v/>
      </c>
      <c r="E9" s="85" t="n"/>
      <c r="F9" s="86" t="inlineStr">
        <is>
          <t>EN チェーン 13mA を含む</t>
        </is>
      </c>
    </row>
    <row r="10" ht="15" customHeight="1" s="49">
      <c r="A10" s="88" t="inlineStr">
        <is>
          <t>マイコン死亡時の遮断</t>
        </is>
      </c>
      <c r="B10" s="82" t="inlineStr">
        <is>
          <t>93 ms</t>
        </is>
      </c>
      <c r="C10" s="83">
        <f>2_MCU書き込みと基本動作!G23</f>
        <v/>
      </c>
      <c r="D10" s="84">
        <f>IF(ISNUMBER(C10),C10-93,"")</f>
        <v/>
      </c>
      <c r="E10" s="85" t="n"/>
      <c r="F10" s="86" t="inlineStr">
        <is>
          <t>R42 1MΩ × C20 100nF</t>
        </is>
      </c>
    </row>
    <row r="11" ht="15" customHeight="1" s="49">
      <c r="A11" s="82" t="inlineStr">
        <is>
          <t>UVLO 遮断</t>
        </is>
      </c>
      <c r="B11" s="82" t="inlineStr">
        <is>
          <t>19.5 V</t>
        </is>
      </c>
      <c r="C11" s="83">
        <f>3_低電圧基本動作!G5</f>
        <v/>
      </c>
      <c r="D11" s="84">
        <f>IF(ISNUMBER(C11),C11-19.5,"")</f>
        <v/>
      </c>
      <c r="E11" s="85" t="n"/>
      <c r="F11" s="86" t="n"/>
    </row>
    <row r="12" ht="15" customHeight="1" s="49">
      <c r="A12" s="82" t="inlineStr">
        <is>
          <t>UVLO 復帰</t>
        </is>
      </c>
      <c r="B12" s="82" t="inlineStr">
        <is>
          <t>17.4 V</t>
        </is>
      </c>
      <c r="C12" s="83">
        <f>3_低電圧基本動作!G6</f>
        <v/>
      </c>
      <c r="D12" s="84">
        <f>IF(ISNUMBER(C12),C12-17.4,"")</f>
        <v/>
      </c>
      <c r="E12" s="85" t="n"/>
      <c r="F12" s="86" t="n"/>
    </row>
    <row r="13" ht="15" customHeight="1" s="49">
      <c r="A13" s="82" t="inlineStr">
        <is>
          <t>OVP 遮断</t>
        </is>
      </c>
      <c r="B13" s="82" t="inlineStr">
        <is>
          <t>34.0 V</t>
        </is>
      </c>
      <c r="C13" s="83">
        <f>3_低電圧基本動作!G7</f>
        <v/>
      </c>
      <c r="D13" s="84">
        <f>IF(ISNUMBER(C13),C13-34,"")</f>
        <v/>
      </c>
      <c r="E13" s="85" t="n"/>
      <c r="F13" s="86" t="n"/>
    </row>
    <row r="14" ht="15" customHeight="1" s="49">
      <c r="A14" s="82" t="inlineStr">
        <is>
          <t>OVP 復帰</t>
        </is>
      </c>
      <c r="B14" s="82" t="inlineStr">
        <is>
          <t>30.1 V</t>
        </is>
      </c>
      <c r="C14" s="83">
        <f>3_低電圧基本動作!G8</f>
        <v/>
      </c>
      <c r="D14" s="84">
        <f>IF(ISNUMBER(C14),C14-30.1,"")</f>
        <v/>
      </c>
      <c r="E14" s="85" t="n"/>
      <c r="F14" s="86" t="n"/>
    </row>
    <row r="15" ht="15" customHeight="1" s="49">
      <c r="A15" s="82" t="inlineStr">
        <is>
          <t>EN 電圧（運転時）</t>
        </is>
      </c>
      <c r="B15" s="82" t="inlineStr">
        <is>
          <t>2.68 V</t>
        </is>
      </c>
      <c r="C15" s="83">
        <f>3_低電圧基本動作!G11</f>
        <v/>
      </c>
      <c r="D15" s="84">
        <f>IF(ISNUMBER(C15),C15-2.68,"")</f>
        <v/>
      </c>
      <c r="E15" s="85" t="n"/>
      <c r="F15" s="86" t="inlineStr">
        <is>
          <t>v2.1.1 は 3.9V</t>
        </is>
      </c>
    </row>
    <row r="16" ht="15" customHeight="1" s="49">
      <c r="A16" s="82" t="inlineStr">
        <is>
          <t>EN 電圧（Q6 ON 時）</t>
        </is>
      </c>
      <c r="B16" s="82" t="inlineStr">
        <is>
          <t>78 mV</t>
        </is>
      </c>
      <c r="C16" s="83">
        <f>3_低電圧基本動作!G12</f>
        <v/>
      </c>
      <c r="D16" s="84">
        <f>IF(ISNUMBER(C16),C16-78,"")</f>
        <v/>
      </c>
      <c r="E16" s="85" t="n"/>
      <c r="F16" s="86" t="n"/>
    </row>
    <row r="17" ht="15" customHeight="1" s="49">
      <c r="A17" s="88" t="inlineStr">
        <is>
          <t>待機電流</t>
        </is>
      </c>
      <c r="B17" s="82" t="inlineStr">
        <is>
          <t>460 µA</t>
        </is>
      </c>
      <c r="C17" s="83">
        <f>3_低電圧基本動作!G14</f>
        <v/>
      </c>
      <c r="D17" s="84">
        <f>IF(ISNUMBER(C17),C17-460,"")</f>
        <v/>
      </c>
      <c r="E17" s="85" t="n"/>
      <c r="F17" s="86" t="inlineStr">
        <is>
          <t>v2.1.1 は 60µA</t>
        </is>
      </c>
    </row>
    <row r="18" ht="15" customHeight="1" s="49">
      <c r="A18" s="82" t="inlineStr">
        <is>
          <t>Vgs 終値</t>
        </is>
      </c>
      <c r="B18" s="82" t="inlineStr">
        <is>
          <t>12.0 V</t>
        </is>
      </c>
      <c r="C18" s="83">
        <f>4_起動波形!G7</f>
        <v/>
      </c>
      <c r="D18" s="84">
        <f>IF(ISNUMBER(C18),C18-12,"")</f>
        <v/>
      </c>
      <c r="E18" s="85" t="n"/>
      <c r="F18" s="87" t="inlineStr">
        <is>
          <t>規格 10〜14V</t>
        </is>
      </c>
    </row>
    <row r="19" ht="15" customHeight="1" s="49">
      <c r="A19" s="82" t="inlineStr">
        <is>
          <t>Vout 立ち上がり</t>
        </is>
      </c>
      <c r="B19" s="82" t="inlineStr">
        <is>
          <t>57.2 ms（許容 42〜87）</t>
        </is>
      </c>
      <c r="C19" s="83">
        <f>4_起動波形!G8</f>
        <v/>
      </c>
      <c r="D19" s="84">
        <f>IF(ISNUMBER(C19),C19-57.2,"")</f>
        <v/>
      </c>
      <c r="E19" s="85" t="n"/>
      <c r="F19" s="86" t="n"/>
    </row>
    <row r="20" ht="15" customHeight="1" s="49">
      <c r="A20" s="88" t="inlineStr">
        <is>
          <t>突入電流</t>
        </is>
      </c>
      <c r="B20" s="82" t="inlineStr">
        <is>
          <t>1.98 A（上限 2.4）</t>
        </is>
      </c>
      <c r="C20" s="83">
        <f>4_起動波形!G9</f>
        <v/>
      </c>
      <c r="D20" s="84">
        <f>IF(ISNUMBER(C20),C20-1.98,"")</f>
        <v/>
      </c>
      <c r="E20" s="85" t="n"/>
      <c r="F20" s="86" t="n"/>
    </row>
    <row r="21" ht="15" customHeight="1" s="49">
      <c r="A21" s="82" t="inlineStr">
        <is>
          <t>TIMER ピーク</t>
        </is>
      </c>
      <c r="B21" s="82" t="inlineStr">
        <is>
          <t>2.0 V 未満</t>
        </is>
      </c>
      <c r="C21" s="83">
        <f>4_起動波形!G10</f>
        <v/>
      </c>
      <c r="D21" s="84" t="inlineStr">
        <is>
          <t>—</t>
        </is>
      </c>
      <c r="E21" s="85" t="n"/>
      <c r="F21" s="87" t="inlineStr">
        <is>
          <t>ラッチ電圧に対する余裕</t>
        </is>
      </c>
    </row>
    <row r="22" ht="15" customHeight="1" s="49">
      <c r="A22" s="82" t="inlineStr">
        <is>
          <t>TP5 − TP2 間容量</t>
        </is>
      </c>
      <c r="B22" s="82" t="inlineStr">
        <is>
          <t>46.7 nF</t>
        </is>
      </c>
      <c r="C22" s="83">
        <f>4_起動波形!G11</f>
        <v/>
      </c>
      <c r="D22" s="84">
        <f>IF(ISNUMBER(C22),C22-46.7,"")</f>
        <v/>
      </c>
      <c r="E22" s="85" t="n"/>
      <c r="F22" s="86" t="inlineStr">
        <is>
          <t>60nF 超なら C9 / C15 過大</t>
        </is>
      </c>
    </row>
    <row r="23" ht="15" customHeight="1" s="49">
      <c r="A23" s="82" t="inlineStr">
        <is>
          <t>T_trip 遮断温度</t>
        </is>
      </c>
      <c r="B23" s="82" t="inlineStr">
        <is>
          <t>95 ℃（暫定）</t>
        </is>
      </c>
      <c r="C23" s="83">
        <f>'5_保護機能（マイコン）'!G6</f>
        <v/>
      </c>
      <c r="D23" s="84">
        <f>IF(ISNUMBER(C23),C23-95,"")</f>
        <v/>
      </c>
      <c r="E23" s="85" t="n"/>
      <c r="F23" s="86" t="inlineStr">
        <is>
          <t>7-4 の実測で確定</t>
        </is>
      </c>
    </row>
    <row r="24" ht="15" customHeight="1" s="49">
      <c r="A24" s="82" t="inlineStr">
        <is>
          <t>TH2 遮断温度</t>
        </is>
      </c>
      <c r="B24" s="82" t="inlineStr">
        <is>
          <t>110 ℃（暫定）</t>
        </is>
      </c>
      <c r="C24" s="83">
        <f>'5_保護機能（マイコン）'!G10</f>
        <v/>
      </c>
      <c r="D24" s="84">
        <f>IF(ISNUMBER(C24),C24-110,"")</f>
        <v/>
      </c>
      <c r="E24" s="85" t="n"/>
      <c r="F24" s="86" t="inlineStr">
        <is>
          <t>7-11 の実測で確定</t>
        </is>
      </c>
    </row>
    <row r="25" ht="15" customHeight="1" s="49">
      <c r="A25" s="82" t="inlineStr">
        <is>
          <t>12V レール</t>
        </is>
      </c>
      <c r="B25" s="82" t="inlineStr">
        <is>
          <t>12.0 V</t>
        </is>
      </c>
      <c r="C25" s="83">
        <f>8_ブレーキチョッパ!G5</f>
        <v/>
      </c>
      <c r="D25" s="84">
        <f>IF(ISNUMBER(C25),C25-12,"")</f>
        <v/>
      </c>
      <c r="E25" s="85" t="n"/>
      <c r="F25" s="86" t="n"/>
    </row>
    <row r="26" ht="15" customHeight="1" s="49">
      <c r="A26" s="88" t="inlineStr">
        <is>
          <t>基準電圧</t>
        </is>
      </c>
      <c r="B26" s="82" t="inlineStr">
        <is>
          <t>2.495 V</t>
        </is>
      </c>
      <c r="C26" s="83">
        <f>8_ブレーキチョッパ!G6</f>
        <v/>
      </c>
      <c r="D26" s="84">
        <f>IF(ISNUMBER(C26),C26-2.495,"")</f>
        <v/>
      </c>
      <c r="E26" s="85" t="n"/>
      <c r="F26" s="86" t="n"/>
    </row>
    <row r="27" ht="15" customHeight="1" s="49">
      <c r="A27" s="88" t="inlineStr">
        <is>
          <t>チョッパ動作点</t>
        </is>
      </c>
      <c r="B27" s="82" t="inlineStr">
        <is>
          <t>32.2 V</t>
        </is>
      </c>
      <c r="C27" s="83">
        <f>8_ブレーキチョッパ!G11</f>
        <v/>
      </c>
      <c r="D27" s="84">
        <f>IF(ISNUMBER(C27),C27-32.2,"")</f>
        <v/>
      </c>
      <c r="E27" s="85" t="n"/>
      <c r="F27" s="86" t="n"/>
    </row>
    <row r="28" ht="15" customHeight="1" s="49">
      <c r="A28" s="88" t="inlineStr">
        <is>
          <t>チョッパ復帰点</t>
        </is>
      </c>
      <c r="B28" s="82" t="inlineStr">
        <is>
          <t>30.8 V</t>
        </is>
      </c>
      <c r="C28" s="83">
        <f>8_ブレーキチョッパ!G12</f>
        <v/>
      </c>
      <c r="D28" s="84">
        <f>IF(ISNUMBER(C28),C28-30.8,"")</f>
        <v/>
      </c>
      <c r="E28" s="85" t="n"/>
      <c r="F28" s="86" t="n"/>
    </row>
    <row r="29" ht="15" customHeight="1" s="49">
      <c r="A29" s="88" t="inlineStr">
        <is>
          <t>チョッパ電流</t>
        </is>
      </c>
      <c r="B29" s="82" t="inlineStr">
        <is>
          <t>0.161 A</t>
        </is>
      </c>
      <c r="C29" s="83">
        <f>8_ブレーキチョッパ!G15</f>
        <v/>
      </c>
      <c r="D29" s="84">
        <f>IF(ISNUMBER(C29),C29-0.161,"")</f>
        <v/>
      </c>
      <c r="E29" s="85" t="n"/>
      <c r="F29" s="86" t="n"/>
    </row>
    <row r="31" ht="15" customHeight="1" s="49">
      <c r="A31" s="52" t="inlineStr">
        <is>
          <t>実測でのみ得られる値</t>
        </is>
      </c>
    </row>
    <row r="32" ht="32.8" customHeight="1" s="49">
      <c r="A32" s="61" t="inlineStr">
        <is>
          <t>項目</t>
        </is>
      </c>
      <c r="B32" s="61" t="inlineStr">
        <is>
          <t>実測値</t>
        </is>
      </c>
      <c r="C32" s="61" t="inlineStr">
        <is>
          <t>単位</t>
        </is>
      </c>
      <c r="D32" s="61" t="inlineStr">
        <is>
          <t>この値で決まること</t>
        </is>
      </c>
    </row>
    <row r="33" ht="15" customHeight="1" s="49">
      <c r="A33" s="82" t="inlineStr">
        <is>
          <t>MDDS30 入力容量</t>
        </is>
      </c>
      <c r="B33" s="83">
        <f>4_起動波形!G5</f>
        <v/>
      </c>
      <c r="C33" s="89" t="inlineStr">
        <is>
          <t>µF</t>
        </is>
      </c>
      <c r="D33" s="62" t="inlineStr">
        <is>
          <t>C15 / C16 の実装可否（3628µF で実装済み）</t>
        </is>
      </c>
      <c r="E33" s="90" t="n"/>
      <c r="F33" s="91" t="n"/>
    </row>
    <row r="34" ht="15" customHeight="1" s="49">
      <c r="A34" s="88" t="inlineStr">
        <is>
          <t>筐体内周囲温度</t>
        </is>
      </c>
      <c r="B34" s="83">
        <f>7_熱特性!G5</f>
        <v/>
      </c>
      <c r="C34" s="89" t="inlineStr">
        <is>
          <t>℃</t>
        </is>
      </c>
      <c r="D34" s="62" t="inlineStr">
        <is>
          <t>T_trip / T_hard の最終値</t>
        </is>
      </c>
      <c r="E34" s="90" t="n"/>
      <c r="F34" s="91" t="n"/>
    </row>
    <row r="35" ht="15" customHeight="1" s="49">
      <c r="A35" s="88" t="inlineStr">
        <is>
          <t>ストール電流</t>
        </is>
      </c>
      <c r="B35" s="83">
        <f>7_熱特性!G12</f>
        <v/>
      </c>
      <c r="C35" s="89" t="inlineStr">
        <is>
          <t>A</t>
        </is>
      </c>
      <c r="D35" s="62" t="inlineStr">
        <is>
          <t>R1（OCP しきい値）の妥当性</t>
        </is>
      </c>
      <c r="E35" s="90" t="n"/>
      <c r="F35" s="91" t="n"/>
    </row>
    <row r="36" ht="15" customHeight="1" s="49">
      <c r="A36" s="82" t="inlineStr">
        <is>
          <t>R11 フランジ温度</t>
        </is>
      </c>
      <c r="B36" s="83">
        <f>7_熱特性!G14</f>
        <v/>
      </c>
      <c r="C36" s="89" t="inlineStr">
        <is>
          <t>℃</t>
        </is>
      </c>
      <c r="D36" s="62" t="inlineStr">
        <is>
          <t>R11 の実装品質、熱抵抗 27.3K/W の裏取り</t>
        </is>
      </c>
      <c r="E36" s="90" t="n"/>
      <c r="F36" s="91" t="n"/>
    </row>
    <row r="37" ht="15" customHeight="1" s="49">
      <c r="A37" s="82" t="inlineStr">
        <is>
          <t>TH2 の応答遅れ</t>
        </is>
      </c>
      <c r="B37" s="83">
        <f>7_熱特性!G17</f>
        <v/>
      </c>
      <c r="C37" s="92" t="inlineStr">
        <is>
          <t>秒</t>
        </is>
      </c>
      <c r="D37" s="63" t="inlineStr">
        <is>
          <t>ファームウェア #5 の判定遅延の妥当性</t>
        </is>
      </c>
      <c r="E37" s="90" t="n"/>
      <c r="F37" s="91" t="n"/>
    </row>
    <row r="38" ht="15" customHeight="1" s="49">
      <c r="A38" s="88" t="inlineStr">
        <is>
          <t>バスリプル（18kHz）</t>
        </is>
      </c>
      <c r="B38" s="83">
        <f>9_走行時総合!G5</f>
        <v/>
      </c>
      <c r="C38" s="89" t="inlineStr">
        <is>
          <t>mV</t>
        </is>
      </c>
      <c r="D38" s="62" t="inlineStr">
        <is>
          <t>C5 のリプル耐性の余裕</t>
        </is>
      </c>
      <c r="E38" s="90" t="n"/>
      <c r="F38" s="91" t="n"/>
    </row>
    <row r="39" ht="15" customHeight="1" s="49">
      <c r="A39" s="88" t="inlineStr">
        <is>
          <t>制動時の最大 Vout</t>
        </is>
      </c>
      <c r="B39" s="83">
        <f>9_走行時総合!G11</f>
        <v/>
      </c>
      <c r="C39" s="89" t="inlineStr">
        <is>
          <t>V</t>
        </is>
      </c>
      <c r="D39" s="62" t="inlineStr">
        <is>
          <t>R11 の最終値（200Ω で足りるか）</t>
        </is>
      </c>
      <c r="E39" s="90" t="n"/>
      <c r="F39" s="91" t="n"/>
    </row>
    <row r="40" ht="15" customHeight="1" s="49">
      <c r="A40" s="82" t="inlineStr">
        <is>
          <t>Vout 経路の電圧降下</t>
        </is>
      </c>
      <c r="B40" s="83">
        <f>9_走行時総合!G12</f>
        <v/>
      </c>
      <c r="C40" s="89" t="inlineStr">
        <is>
          <t>mV</t>
        </is>
      </c>
      <c r="D40" s="63" t="inlineStr">
        <is>
          <t>解析値（R70 0.5mΩ 挿入後に再解析が必要）の裏取り</t>
        </is>
      </c>
      <c r="E40" s="90" t="n"/>
      <c r="F40" s="91" t="n"/>
    </row>
    <row r="41" ht="15" customHeight="1" s="49">
      <c r="A41" s="82" t="inlineStr">
        <is>
          <t>GND 経路の電圧降下</t>
        </is>
      </c>
      <c r="B41" s="83">
        <f>9_走行時総合!G13</f>
        <v/>
      </c>
      <c r="C41" s="89" t="inlineStr">
        <is>
          <t>mV</t>
        </is>
      </c>
      <c r="D41" s="63" t="inlineStr">
        <is>
          <t>解析値 0.975mΩ の裏取り</t>
        </is>
      </c>
      <c r="E41" s="90" t="n"/>
      <c r="F41" s="91" t="n"/>
    </row>
    <row r="42" ht="15" customHeight="1" s="49">
      <c r="A42" s="88" t="inlineStr">
        <is>
          <t>チョッパ ON 積算の増分</t>
        </is>
      </c>
      <c r="B42" s="83">
        <f>9_走行時総合!G16</f>
        <v/>
      </c>
      <c r="C42" s="89" t="inlineStr">
        <is>
          <t>—</t>
        </is>
      </c>
      <c r="D42" s="63" t="inlineStr">
        <is>
          <t>ファームウェア #6 の閾値</t>
        </is>
      </c>
      <c r="E42" s="90" t="n"/>
      <c r="F42" s="91" t="n"/>
    </row>
    <row r="43" ht="15" customHeight="1" s="49">
      <c r="A43" s="82" t="inlineStr">
        <is>
          <t>TP3 − TP12 電位差</t>
        </is>
      </c>
      <c r="B43" s="83">
        <f>10_GND分離!G6</f>
        <v/>
      </c>
      <c r="C43" s="89" t="inlineStr">
        <is>
          <t>mV</t>
        </is>
      </c>
      <c r="D43" s="62" t="inlineStr">
        <is>
          <t>GND 分離設計の妥当性</t>
        </is>
      </c>
      <c r="E43" s="90" t="n"/>
      <c r="F43" s="91" t="n"/>
    </row>
    <row r="44" ht="15" customHeight="1" s="49">
      <c r="A44" s="82" t="inlineStr">
        <is>
          <t>LED 電流（34V）</t>
        </is>
      </c>
      <c r="B44" s="83">
        <f>11_外部スイッチ・LED!G9</f>
        <v/>
      </c>
      <c r="C44" s="89" t="inlineStr">
        <is>
          <t>mA</t>
        </is>
      </c>
      <c r="D44" s="62" t="inlineStr">
        <is>
          <t>F3 の品種（100mA 品で足りるか）</t>
        </is>
      </c>
      <c r="E44" s="90" t="n"/>
      <c r="F44" s="91" t="n"/>
    </row>
    <row r="46" ht="15" customHeight="1" s="49">
      <c r="A46" s="58" t="inlineStr">
        <is>
          <t>Q1 − TH1 オフセット（7_熱特性 の自動計算を転記）</t>
        </is>
      </c>
      <c r="B46" s="93">
        <f>7_熱特性!C24</f>
        <v/>
      </c>
      <c r="C46" s="58" t="inlineStr">
        <is>
          <t>℃</t>
        </is>
      </c>
      <c r="D46" s="58" t="inlineStr">
        <is>
          <t>T_trip / T_hard の妥当性。設計想定 2〜3℃</t>
        </is>
      </c>
    </row>
    <row r="48" ht="48" customHeight="1" s="49">
      <c r="A48" s="52" t="inlineStr">
        <is>
          <t>総合判定</t>
        </is>
      </c>
      <c r="B48" s="94" t="n"/>
      <c r="C48" s="90" t="n"/>
      <c r="D48" s="90" t="n"/>
      <c r="E48" s="90" t="n"/>
      <c r="F48" s="91" t="n"/>
    </row>
    <row r="50" ht="48" customHeight="1" s="49">
      <c r="A50" s="52" t="inlineStr">
        <is>
          <t>次版（v3.1 / v2.4）への申し送り事項</t>
        </is>
      </c>
      <c r="B50" s="94" t="n"/>
      <c r="C50" s="90" t="n"/>
      <c r="D50" s="90" t="n"/>
      <c r="E50" s="90" t="n"/>
      <c r="F50" s="91" t="n"/>
    </row>
  </sheetData>
  <mergeCells count="14">
    <mergeCell ref="D42:F42"/>
    <mergeCell ref="D38:F38"/>
    <mergeCell ref="D37:F37"/>
    <mergeCell ref="D41:F41"/>
    <mergeCell ref="B48:F48"/>
    <mergeCell ref="D34:F34"/>
    <mergeCell ref="D40:F40"/>
    <mergeCell ref="D35:F35"/>
    <mergeCell ref="D36:F36"/>
    <mergeCell ref="D44:F44"/>
    <mergeCell ref="D39:F39"/>
    <mergeCell ref="B50:F50"/>
    <mergeCell ref="D33:F33"/>
    <mergeCell ref="D43:F43"/>
  </mergeCells>
  <dataValidations count="1">
    <dataValidation sqref="E5:E29" showDropDown="0" showInputMessage="0" showErrorMessage="0" allowBlank="1" type="list" errorStyle="stop" operator="between">
      <formula1>"OK,NG,未実施"</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I8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48" min="1" max="1"/>
    <col width="24" customWidth="1" style="48" min="2" max="2"/>
    <col width="40" customWidth="1" style="48" min="3" max="3"/>
    <col width="52" customWidth="1" style="48" min="4" max="4"/>
  </cols>
  <sheetData>
    <row r="1" ht="21.6" customHeight="1" s="49">
      <c r="A1" s="50" t="inlineStr">
        <is>
          <t>v2.1.1 からの変更履歴（v3.0.0）</t>
        </is>
      </c>
    </row>
    <row r="2" ht="15" customHeight="1" s="49">
      <c r="A2" s="79" t="inlineStr">
        <is>
          <t>試験時に設計値の根拠をたどるための記録。</t>
        </is>
      </c>
    </row>
    <row r="3"/>
    <row r="4" ht="15" customHeight="1" s="49">
      <c r="A4" s="95" t="inlineStr">
        <is>
          <t>試験仕様書の改訂内容</t>
        </is>
      </c>
    </row>
    <row r="5" ht="25.5" customHeight="1" s="49">
      <c r="A5" s="61" t="inlineStr">
        <is>
          <t>版</t>
        </is>
      </c>
      <c r="B5" s="61" t="inlineStr">
        <is>
          <t>対象</t>
        </is>
      </c>
      <c r="C5" s="61" t="inlineStr">
        <is>
          <t>変更内容</t>
        </is>
      </c>
      <c r="D5" s="61" t="inlineStr">
        <is>
          <t>理由・根拠</t>
        </is>
      </c>
    </row>
    <row r="6" ht="60.75" customHeight="1" s="49">
      <c r="A6" s="62" t="inlineStr">
        <is>
          <t>v3.0.0</t>
        </is>
      </c>
      <c r="B6" s="63" t="inlineStr">
        <is>
          <t>試験仕様書の構成</t>
        </is>
      </c>
      <c r="C6" s="63" t="inlineStr">
        <is>
          <t>シートを 10 枚から 12 枚に再編し、試験番号を全面的に振り直した。実施順序を「3.3V → マイコン → 低電圧基本動作 → 起動波形」に変更</t>
        </is>
      </c>
      <c r="D6" s="62" t="inlineStr">
        <is>
          <t>EN がフェイルセーフ（マイコンが能動的に保持しないと切れる）になったため、マイコンが動くまで Vout が出ない。v2.1.1 の順序（低電圧基本動作が最初）では 1 項目も測れない</t>
        </is>
      </c>
    </row>
    <row r="7" ht="60.75" customHeight="1" s="49">
      <c r="A7" s="62" t="inlineStr">
        <is>
          <t>v3.0.0</t>
        </is>
      </c>
      <c r="B7" s="62" t="inlineStr">
        <is>
          <t>9_ENしきい値選別</t>
        </is>
      </c>
      <c r="C7" s="63" t="inlineStr">
        <is>
          <t>シートを削除</t>
        </is>
      </c>
      <c r="D7" s="63" t="inlineStr">
        <is>
          <t>遮断点が LM5060 の EN しきい値ばらつき（0.80〜2.00V）ではなくファームウェアの定数で決まるため、量産選別が不要になった。EN は 2.68V と 78mV の 2 値だけを取り、どちらも ENTHH / ENTHL から十分離れている</t>
        </is>
      </c>
    </row>
    <row r="8" ht="31.5" customHeight="1" s="49">
      <c r="A8" s="62" t="inlineStr">
        <is>
          <t>v3.0.0</t>
        </is>
      </c>
      <c r="B8" s="62" t="inlineStr">
        <is>
          <t>1_3.3V電源（新規）</t>
        </is>
      </c>
      <c r="C8" s="62" t="inlineStr">
        <is>
          <t>IC4（LMR16006XDDCR）の 12 項目を追加</t>
        </is>
      </c>
      <c r="D8" s="63" t="inlineStr">
        <is>
          <t>マイコン電源の新設。VBUS（Q3 の前）から取るため、Vout が出ない状態でも検証できる</t>
        </is>
      </c>
    </row>
    <row r="9" ht="75" customHeight="1" s="49">
      <c r="A9" s="62" t="inlineStr">
        <is>
          <t>v3.0.0</t>
        </is>
      </c>
      <c r="B9" s="62" t="inlineStr">
        <is>
          <t>2_MCU書き込みと基本動作（新規）</t>
        </is>
      </c>
      <c r="C9" s="62" t="inlineStr">
        <is>
          <t>IC6（STM32C011F4P6）の 22 項目を追加。JP1 のブリングアップ手順を 2-4 / 2-5 / 2-6 に明記</t>
        </is>
      </c>
      <c r="D9" s="63" t="inlineStr">
        <is>
          <t>未書込みのチップは GPIO が Hi-Z のため R42 1MΩ が EN_GATE を +3V3 へ引き上げ、Q6 が ON になって EN が落ちる。JP1 をブリッジすると EN_GATE が GND に固定され、ファームウェア無しでも電源部を動かせる。★ 書き込み後は必ず開放に戻す</t>
        </is>
      </c>
    </row>
    <row r="10" ht="46.5" customHeight="1" s="49">
      <c r="A10" s="62" t="inlineStr">
        <is>
          <t>v3.0.0</t>
        </is>
      </c>
      <c r="B10" s="62" t="inlineStr">
        <is>
          <t>5_保護機能（マイコン）</t>
        </is>
      </c>
      <c r="C10" s="63" t="inlineStr">
        <is>
          <t>判定基準を EN 電圧から温度そのものへ変更。ファームウェア #3〜#13 の 16 項目に拡張</t>
        </is>
      </c>
      <c r="D10" s="63" t="inlineStr">
        <is>
          <t>遮断点がファームの定数で決まるため、精度は NTC の J ランク ±5% と抵抗の 1% だけで決まり ±2〜3℃。v2.1.1 の「温度は参考値」という制約が消えた</t>
        </is>
      </c>
    </row>
    <row r="11" ht="60.75" customHeight="1" s="49">
      <c r="A11" s="62" t="inlineStr">
        <is>
          <t>v3.0.0</t>
        </is>
      </c>
      <c r="B11" s="62" t="inlineStr">
        <is>
          <t>6_Q3ゲート保護（新規）</t>
        </is>
      </c>
      <c r="C11" s="62" t="inlineStr">
        <is>
          <t>R51 / D12 の検証 6 項目を追加</t>
        </is>
      </c>
      <c r="D11" s="62" t="inlineStr">
        <is>
          <t>…R51 100Ω が C9 ∥ C15（44nF）をゲートから切り離し、D12（SMAJ15A）が Q3 の Ciss 2.7nF（max 3.4nF）分だけをクランプする。クランプ電流は 4.5A から 0.58A に下がる（7.8 分の 1）</t>
        </is>
      </c>
    </row>
    <row r="12" ht="60.75" customHeight="1" s="49">
      <c r="A12" s="62" t="inlineStr">
        <is>
          <t>v3.0.0</t>
        </is>
      </c>
      <c r="B12" s="62" t="inlineStr">
        <is>
          <t>4_起動波形（旧 2_起動波形）</t>
        </is>
      </c>
      <c r="C12" s="62" t="inlineStr">
        <is>
          <t>TP5 の意味が変わったことを明記。4-3（Vgs 終値）を独立項目に分離</t>
        </is>
      </c>
      <c r="D12" s="62" t="inlineStr">
        <is>
          <t>R51 が IC3.GATE と Q3 ゲートの間に入ったため、TP5 は /Gate_HV_1（R51 の下流＝真の Q3 ゲート）になった。C9 / C15 は Net-(IC3-GATE) 側。TP5 − TP10 が真の Vgs で、v2.1.1 より測定点として適切</t>
        </is>
      </c>
    </row>
    <row r="13" ht="60.75" customHeight="1" s="49">
      <c r="A13" s="62" t="inlineStr">
        <is>
          <t>v3.0.0</t>
        </is>
      </c>
      <c r="B13" s="62" t="inlineStr">
        <is>
          <t>7_熱特性（旧 3_熱特性）</t>
        </is>
      </c>
      <c r="C13" s="63" t="inlineStr">
        <is>
          <t>銅箔の熱抵抗（Q1 26.1 / Q2 25.9 / Q3 23.9 / R11 27.3 K/W）と損失予測の表を追加。Q3 の温度を独立項目に分離。TH2 / IC6 / IC4 の温度を追加</t>
        </is>
      </c>
      <c r="D13" s="63" t="inlineStr">
        <is>
          <t>基板図の実形状から熱抵抗を数値解析し、判定基準を「記録のみ」から定量値に置き換えた。Q3 は全電流を単独で流すため Q1 / Q2 より条件が厳しい</t>
        </is>
      </c>
    </row>
    <row r="14" ht="17.25" customHeight="1" s="49">
      <c r="A14" s="62" t="inlineStr">
        <is>
          <t>v3.0.0</t>
        </is>
      </c>
      <c r="B14" s="62" t="inlineStr">
        <is>
          <t>7_熱特性</t>
        </is>
      </c>
      <c r="C14" s="62" t="inlineStr">
        <is>
          <t>R5 の決定表を削除</t>
        </is>
      </c>
      <c r="D14" s="62" t="inlineStr">
        <is>
          <t>R5 / R6 / R9（EN 分圧）が削除されたため</t>
        </is>
      </c>
    </row>
    <row r="15" ht="46.5" customHeight="1" s="49">
      <c r="A15" s="62" t="inlineStr">
        <is>
          <t>v3.0.0</t>
        </is>
      </c>
      <c r="B15" s="62" t="inlineStr">
        <is>
          <t>10_GND分離（旧 7_GND分離）</t>
        </is>
      </c>
      <c r="C15" s="63" t="inlineStr">
        <is>
          <t>テストポイントと島の対応表を追加。10-4 / 10-5 / 10-7 を追加</t>
        </is>
      </c>
      <c r="D15" s="62" t="inlineStr">
        <is>
          <t>v3.0.0 では ADC の基準電位が一点接続に乗るため重要度が上がった。10-7（ストール中の ADC 読み）が分離の実効性を最終判定する</t>
        </is>
      </c>
    </row>
    <row r="16" ht="46.5" customHeight="1" s="49">
      <c r="A16" s="62" t="inlineStr">
        <is>
          <t>v3.0.0</t>
        </is>
      </c>
      <c r="B16" s="62" t="inlineStr">
        <is>
          <t>9_走行時総合（旧 6_走行時総合）</t>
        </is>
      </c>
      <c r="C16" s="62" t="inlineStr">
        <is>
          <t>9-8 / 9-9（Vout / GND 経路の電圧降下）と 9-10〜9-12（ADC 精度・チョッパ積算）を追加</t>
        </is>
      </c>
      <c r="D16" s="63" t="inlineStr">
        <is>
          <t>経路抵抗の解析値（Vout 1.024mΩ / GND 0.975mΩ）の裏取り。★ R70 追加後は Vout 側を再解析すること</t>
        </is>
      </c>
    </row>
    <row r="17" ht="46.5" customHeight="1" s="49">
      <c r="A17" s="62" t="inlineStr">
        <is>
          <t>v3.0.0</t>
        </is>
      </c>
      <c r="B17" s="62" t="inlineStr">
        <is>
          <t>0_通電前確認</t>
        </is>
      </c>
      <c r="C17" s="62" t="inlineStr">
        <is>
          <t>0-2（JP1）/ 0-6 / 0-7（3.3V）/ 0-10〜0-16（R51・D12・D11・EN 系）/ 0-22〜0-24（J6・NTC）を追加</t>
        </is>
      </c>
      <c r="D17" s="63" t="inlineStr">
        <is>
          <t>追加部品の実装確認。特に 0-10 / 0-11 が欠けていると出力短絡で Q3 が再び破壊される</t>
        </is>
      </c>
    </row>
    <row r="18" ht="75" customHeight="1" s="49">
      <c r="A18" s="62" t="inlineStr">
        <is>
          <t>v3.0.0</t>
        </is>
      </c>
      <c r="B18" s="62" t="inlineStr">
        <is>
          <t>J6 / THT 実装</t>
        </is>
      </c>
      <c r="C18" s="62" t="inlineStr">
        <is>
          <t>J6（SWD ヘッダ）を PCBA の実装対象に追加。XFCN PZ254V-11-05P（LCSC C492404）を選定。2-1 を「実装作業」から「実装確認」に変更</t>
        </is>
      </c>
      <c r="D18" s="63" t="inlineStr">
        <is>
          <t>当初は手はんだの予定だったが、初回試験でファームウェア書き込みの頻度が高いため工場実装とした。BOOMELE C2337 は 1×40 の連結品で PCBA では折って使えないため、1×5 単体品に変更。基板の穴径 1.0mm・パッド 1.7mm・ピッチ 2.54mm に対し 0.64mm 角ピンで標準の勘合</t>
        </is>
      </c>
    </row>
    <row r="19" ht="31.5" customHeight="1" s="49">
      <c r="A19" s="62" t="inlineStr">
        <is>
          <t>v3.0.0</t>
        </is>
      </c>
      <c r="B19" s="62" t="inlineStr">
        <is>
          <t>11_外部スイッチ・LED</t>
        </is>
      </c>
      <c r="C19" s="62" t="inlineStr">
        <is>
          <t>11-4（接点電流）と 11-10（EN_FB 読み戻し）を追加</t>
        </is>
      </c>
      <c r="D19" s="63" t="inlineStr">
        <is>
          <t>接点電流が 1.06mA から 1.22mA に変わった。EN_FB は PA8 で読み戻してスイッチ状態検出と STOP 復帰に使う</t>
        </is>
      </c>
    </row>
    <row r="20" ht="129.75" customHeight="1" s="49">
      <c r="A20" s="62" t="inlineStr">
        <is>
          <t>v3.0.0</t>
        </is>
      </c>
      <c r="B20" s="62" t="inlineStr">
        <is>
          <t>Q1 / Q2 / Q3</t>
        </is>
      </c>
      <c r="C20" s="62" t="inlineStr">
        <is>
          <t>CSD18540Q5B（TI、LCSC C86513）→ BSC028N06NS（Infineon、LCSC C148250）に変更。4-7 の期待容量を 48 → 46.7nF、7_熱特性 の予測表、6_Q3ゲート保護 の注記、4-6 の TIMER 判定を再計算</t>
        </is>
      </c>
      <c r="D20" s="62" t="inlineStr">
        <is>
          <t>TI 品が LCSC で在庫 0（2026-10-14 確認）。一度 onsemi NTMFS5C628NLT1G（C145537）を選定したが、SO-8FL のランドパターンが基板の TDSON-8-1 と合わず JLCPCB のプレビューで部品が正しく載らなかったため撤回。Infineon PG-TDSON-8 は KiCad の TDSON-8-1 が元にしているパッケージそのもので幾何学的に一致する。Rds_on 2.5 typ / 2.8 max mΩ、Ciss 2700pF typ（3 品種で最小）、Qg 37nC typ（同）、Vgs ±20V。Tj max は 150℃ と 25℃ 下がるが、TH1 がケース温度を読みファーム #4 が T_hard 115℃ で遮断するため到達しない。★ 露出パッドがソースの BSC028N06NSSC（C534317）は別品種なので使用しない。★ Vgs(th) が 2.8V typ / 3.3V max に上がり、LM5060 の I_TIMERL / I_TIMERH 分岐（5V）までの余裕が 3V → 約 1V に減るため 4-6 で傾きを確認すること</t>
        </is>
      </c>
    </row>
    <row r="21" ht="118.5" customHeight="1" s="49">
      <c r="A21" s="62" t="inlineStr">
        <is>
          <t>v3.0.0</t>
        </is>
      </c>
      <c r="B21" s="62" t="inlineStr">
        <is>
          <t>12_量産工程 / 13_量産記録（新規）</t>
        </is>
      </c>
      <c r="C21" s="62" t="inlineStr">
        <is>
          <t>300 枚ロットの量産工程を 2 シート追加。全数は短縮版 7 項目（P-1〜P-7）、抜取りは初期流動 5 枚（レベル A）＋ 30 枚ごとに 1 枚（レベル B、計 10 枚）の 15 枚</t>
        </is>
      </c>
      <c r="D21" s="63" t="inlineStr">
        <is>
          <t>量産では J6 を未実装とし、スルーホールにポゴピンを当てて書き込む。給電は J1 から 24V を入れて IC4 経由とすることで、3.3V 降圧も同時に検証できる。★P-4（未書込みで Vout が出ないこと）と ★P-7（非常停止）はフェイルセーフの全数検証で、NG なら出荷禁止。ライタは STLINK-V3MINIE（ターゲット給電機能なし）、読み出し保護は RDP Level 1（Level 2 は不可逆のため不採用）。工数は全数 8.5h ＋ 抜取り 8.3h ≒ 17 時間</t>
        </is>
      </c>
    </row>
    <row r="22" ht="31.5" customHeight="1" s="49">
      <c r="A22" s="62" t="inlineStr">
        <is>
          <t>v2.3 → v3.0.0</t>
        </is>
      </c>
      <c r="B22" s="63" t="inlineStr">
        <is>
          <t>基板バージョン</t>
        </is>
      </c>
      <c r="C22" s="63" t="inlineStr">
        <is>
          <t>設計仕様書は v2.3 として作成したが、基板・試験仕様書は v3.0.0 とする</t>
        </is>
      </c>
      <c r="D22" s="63" t="inlineStr">
        <is>
          <t>マイコン保護化・3.3V 電源の新設・EN 方式の変更・R51 / D12 の追加と、v2.1.1 からの差分が大きいため</t>
        </is>
      </c>
    </row>
    <row r="23"/>
    <row r="24" ht="15" customHeight="1" s="49">
      <c r="A24" s="95" t="inlineStr">
        <is>
          <t>設計（ハードウェア）の変更内容</t>
        </is>
      </c>
    </row>
    <row r="25" ht="25.5" customHeight="1" s="49">
      <c r="A25" s="61" t="inlineStr">
        <is>
          <t>区分</t>
        </is>
      </c>
      <c r="B25" s="61" t="inlineStr">
        <is>
          <t>対象</t>
        </is>
      </c>
      <c r="C25" s="61" t="inlineStr">
        <is>
          <t>内容</t>
        </is>
      </c>
      <c r="D25" s="61" t="inlineStr">
        <is>
          <t>理由</t>
        </is>
      </c>
    </row>
    <row r="26" ht="31.5" customHeight="1" s="49">
      <c r="A26" s="63" t="inlineStr">
        <is>
          <t>追加</t>
        </is>
      </c>
      <c r="B26" s="62" t="inlineStr">
        <is>
          <t>IC4 + 周辺</t>
        </is>
      </c>
      <c r="C26" s="62" t="inlineStr">
        <is>
          <t>LMR16006XDDCR による VBUS → 3.3V 降圧（0.7MHz、ECO 28µA）</t>
        </is>
      </c>
      <c r="D26" s="63" t="inlineStr">
        <is>
          <t>マイコン電源。VBUS 側（Q3 の前）から取る</t>
        </is>
      </c>
    </row>
    <row r="27" ht="31.5" customHeight="1" s="49">
      <c r="A27" s="63" t="inlineStr">
        <is>
          <t>追加</t>
        </is>
      </c>
      <c r="B27" s="62" t="inlineStr">
        <is>
          <t>IC6 + 周辺</t>
        </is>
      </c>
      <c r="C27" s="62" t="inlineStr">
        <is>
          <t>STM32C011F4P6（TSSOP-20）</t>
        </is>
      </c>
      <c r="D27" s="63" t="inlineStr">
        <is>
          <t>保護制御。ADC で TH1 / TH2 / VBUS / Vout / チョッパを監視</t>
        </is>
      </c>
    </row>
    <row r="28" ht="31.5" customHeight="1" s="49">
      <c r="A28" s="63" t="inlineStr">
        <is>
          <t>追加</t>
        </is>
      </c>
      <c r="B28" s="62" t="inlineStr">
        <is>
          <t>Q6 / R42 / R48 / C20 / JP1</t>
        </is>
      </c>
      <c r="C28" s="62" t="inlineStr">
        <is>
          <t>BSS138 による EN 引き下げ（フェイルセーフ）</t>
        </is>
      </c>
      <c r="D28" s="63" t="inlineStr">
        <is>
          <t>マイコン死亡時に約 93ms で自動遮断。JP1 はブリングアップ用の強制 OFF</t>
        </is>
      </c>
    </row>
    <row r="29" ht="31.5" customHeight="1" s="49">
      <c r="A29" s="63" t="inlineStr">
        <is>
          <t>追加</t>
        </is>
      </c>
      <c r="B29" s="62" t="inlineStr">
        <is>
          <t>TH2</t>
        </is>
      </c>
      <c r="C29" s="62" t="inlineStr">
        <is>
          <t>R11 近傍に 2 個目の NTC（R11 から 5mm 離す）</t>
        </is>
      </c>
      <c r="D29" s="62" t="inlineStr">
        <is>
          <t>PPTC 撤去後 R11 の過熱保護が無いため</t>
        </is>
      </c>
    </row>
    <row r="30" ht="31.5" customHeight="1" s="49">
      <c r="A30" s="63" t="inlineStr">
        <is>
          <t>追加</t>
        </is>
      </c>
      <c r="B30" s="62" t="inlineStr">
        <is>
          <t>J5 / J6</t>
        </is>
      </c>
      <c r="C30" s="63" t="inlineStr">
        <is>
          <t>拡張端子（JST XA 6極）/ SWD パッド（1×5 THT）</t>
        </is>
      </c>
      <c r="D30" s="62" t="inlineStr">
        <is>
          <t>v2.4 以降の外部センサー対応と書き込み。★ 2026-10-14 以降に J7（電流センス出力・JST GH 3極 SMD）/ J8（VBUS_AUX 出力・JST VH 2極 垂直）/ F4（2A 63V ヒューズ）を追加</t>
        </is>
      </c>
    </row>
    <row r="31" ht="17.25" customHeight="1" s="49">
      <c r="A31" s="63" t="inlineStr">
        <is>
          <t>追加</t>
        </is>
      </c>
      <c r="B31" s="62" t="inlineStr">
        <is>
          <t>R51 / D12</t>
        </is>
      </c>
      <c r="C31" s="62" t="inlineStr">
        <is>
          <t>Q3 のゲート保護（100Ω 直列 ＋ SMAJ15A）</t>
        </is>
      </c>
      <c r="D31" s="62" t="inlineStr">
        <is>
          <t>2026-10-08、出力短絡で Q3 のゲート酸化膜が破壊された</t>
        </is>
      </c>
    </row>
    <row r="32" ht="17.25" customHeight="1" s="49">
      <c r="A32" s="63" t="inlineStr">
        <is>
          <t>追加</t>
        </is>
      </c>
      <c r="B32" s="62" t="inlineStr">
        <is>
          <t>R50</t>
        </is>
      </c>
      <c r="C32" s="62" t="inlineStr">
        <is>
          <t>+3V3 → NRST の 10kΩ（条件付き）</t>
        </is>
      </c>
      <c r="D32" s="62" t="inlineStr">
        <is>
          <t>J6 が MCU から離れ MCU_NRST の配線が伸びる場合のみ</t>
        </is>
      </c>
    </row>
    <row r="33" ht="17.25" customHeight="1" s="49">
      <c r="A33" s="63" t="inlineStr">
        <is>
          <t>削除</t>
        </is>
      </c>
      <c r="B33" s="62" t="inlineStr">
        <is>
          <t>R5 / R6 / R9</t>
        </is>
      </c>
      <c r="C33" s="62" t="inlineStr">
        <is>
          <t>EN 分圧を構成していた抵抗</t>
        </is>
      </c>
      <c r="D33" s="62" t="inlineStr">
        <is>
          <t>EN 分圧方式を廃止</t>
        </is>
      </c>
    </row>
    <row r="34" ht="31.5" customHeight="1" s="49">
      <c r="A34" s="63" t="inlineStr">
        <is>
          <t>移設</t>
        </is>
      </c>
      <c r="B34" s="62" t="inlineStr">
        <is>
          <t>TH1</t>
        </is>
      </c>
      <c r="C34" s="62" t="inlineStr">
        <is>
          <t>EN 分圧から MCU の ADC へ。配置は v2.1.1 のまま（Q1〜Q3 の各ドレインパッドから約 1mm）</t>
        </is>
      </c>
      <c r="D34" s="63" t="inlineStr">
        <is>
          <t>遮断点をファームで決めるため</t>
        </is>
      </c>
    </row>
    <row r="35" ht="31.5" customHeight="1" s="49">
      <c r="A35" s="63" t="inlineStr">
        <is>
          <t>変更</t>
        </is>
      </c>
      <c r="B35" s="62" t="inlineStr">
        <is>
          <t>D8</t>
        </is>
      </c>
      <c r="C35" s="62" t="inlineStr">
        <is>
          <t>BZT52C3V9（3.9V ツェナー）→ PESD5V0S1UL（5V ESD）</t>
        </is>
      </c>
      <c r="D35" s="62" t="inlineStr">
        <is>
          <t>EN 絶対最大は 75V。役割がクランプから ESD 保護に変わる</t>
        </is>
      </c>
    </row>
    <row r="36" ht="31.5" customHeight="1" s="49">
      <c r="A36" s="63" t="inlineStr">
        <is>
          <t>変更</t>
        </is>
      </c>
      <c r="B36" s="62" t="inlineStr">
        <is>
          <t>C34</t>
        </is>
      </c>
      <c r="C36" s="62" t="inlineStr">
        <is>
          <t>100nF → 1nF</t>
        </is>
      </c>
      <c r="D36" s="63" t="inlineStr">
        <is>
          <t>マイコンによる高速短絡検出（応答 2ms）のため。100nF では分圧の時定数が 9.1ms になり間に合わない</t>
        </is>
      </c>
    </row>
    <row r="37" ht="31.5" customHeight="1" s="49">
      <c r="A37" s="63" t="inlineStr">
        <is>
          <t>変更</t>
        </is>
      </c>
      <c r="B37" s="62" t="inlineStr">
        <is>
          <t>C27</t>
        </is>
      </c>
      <c r="C37" s="62" t="inlineStr">
        <is>
          <t>1206 → 1210（2.2µF / 100V X7R、PSA FS32X225K101EGG）</t>
        </is>
      </c>
      <c r="D37" s="62" t="inlineStr">
        <is>
          <t>100V X7R の 2.2µF は 1210 でないと入手性が悪い。基板図を修正済み</t>
        </is>
      </c>
    </row>
    <row r="38" ht="31.5" customHeight="1" s="49">
      <c r="A38" s="63" t="inlineStr">
        <is>
          <t>変更</t>
        </is>
      </c>
      <c r="B38" s="62" t="inlineStr">
        <is>
          <t>C31 / C32</t>
        </is>
      </c>
      <c r="C38" s="62" t="inlineStr">
        <is>
          <t>100V 指定 → 50V 品</t>
        </is>
      </c>
      <c r="D38" s="62" t="inlineStr">
        <is>
          <t>+3V3 系のデカップリングで 100V は不要。回路図のテキストを修正</t>
        </is>
      </c>
    </row>
    <row r="39" ht="31.5" customHeight="1" s="49">
      <c r="A39" s="63" t="inlineStr">
        <is>
          <t>変更</t>
        </is>
      </c>
      <c r="B39" s="62" t="inlineStr">
        <is>
          <t>J4</t>
        </is>
      </c>
      <c r="C39" s="63" t="inlineStr">
        <is>
          <t>端子の機能のみ変更（pin3 / pin4 が 3.3V 系ロジックに）</t>
        </is>
      </c>
      <c r="D39" s="63" t="inlineStr">
        <is>
          <t>ハーネスとスイッチはそのまま流用可</t>
        </is>
      </c>
    </row>
    <row r="40" ht="31.5" customHeight="1" s="49">
      <c r="A40" s="63" t="inlineStr">
        <is>
          <t>変更なし</t>
        </is>
      </c>
      <c r="B40" s="62" t="inlineStr">
        <is>
          <t>C16</t>
        </is>
      </c>
      <c r="C40" s="62" t="inlineStr">
        <is>
          <t>0.15µF のまま据え置き（TIMER 合計 0.48µF）</t>
        </is>
      </c>
      <c r="D40" s="62" t="inlineStr">
        <is>
          <t>0.66µF に増やすと短絡時の遮断が 106 → 145ms に悪化する。起動余裕より短絡応答を優先</t>
        </is>
      </c>
    </row>
    <row r="41" ht="46.5" customHeight="1" s="49">
      <c r="A41" s="63" t="inlineStr">
        <is>
          <t>変更なし</t>
        </is>
      </c>
      <c r="B41" s="62" t="inlineStr">
        <is>
          <t>IC1 / IC2 / IC3 / Q1〜Q5 / R2・R3・R4 / チョッパ一式 / F3 / LED1</t>
        </is>
      </c>
      <c r="C41" s="62" t="inlineStr">
        <is>
          <t>—</t>
        </is>
      </c>
      <c r="D41" s="63" t="inlineStr">
        <is>
          <t>実測で正常を確認済み</t>
        </is>
      </c>
    </row>
    <row r="42" ht="31.5" customHeight="1" s="49">
      <c r="A42" s="63" t="inlineStr">
        <is>
          <t>採用（v3.0.0 実装済み）</t>
        </is>
      </c>
      <c r="B42" s="63" t="inlineStr">
        <is>
          <t>電流検出（計測用）</t>
        </is>
      </c>
      <c r="C42" s="63" t="inlineStr">
        <is>
          <t>R70 0.5mΩ シャント ＋ U3 INA240A2PW（ゲイン 50V/V）＋ IC5 TLV9001（VBUS 分圧バッファ）。出力は J7（JST GH 3極）へ</t>
        </is>
      </c>
      <c r="D42" s="62" t="inlineStr">
        <is>
          <t>★ 2026-10-14 以降に追加。µs 遮断には使わず、外部計測・テレメトリ専用。マイコンには取り込まない（R73 DNP）。Q1 / Q2 が同じ容量放電電流に耐えたため高速遮断は不要という判断は維持</t>
        </is>
      </c>
    </row>
    <row r="43">
      <c r="A43" t="inlineStr">
        <is>
          <t>追加</t>
        </is>
      </c>
      <c r="B43" t="inlineStr">
        <is>
          <t>R70 / R74 / R75 / C64 / U3 / R77 / C67</t>
        </is>
      </c>
      <c r="C43" t="inlineStr">
        <is>
          <t>電流検出：0.5mΩ シャント（2512 3W）＋ 0Ω ケルビン ＋ INA240A2PW（50V/V）＋ 1kΩ/1µF 出力フィルタ</t>
        </is>
      </c>
      <c r="D43" t="inlineStr">
        <is>
          <t>2026-10-14 以降に追加。25mV/A。C64 は DNP（R74 / R75 が 0Ω のため無効）</t>
        </is>
      </c>
    </row>
    <row r="44" ht="17.15" customHeight="1" s="49">
      <c r="A44" t="inlineStr">
        <is>
          <t>追加</t>
        </is>
      </c>
      <c r="B44" t="inlineStr">
        <is>
          <t>IC5 / R71 / R72 / R76 / C66 / C68 / C65 / NT1 / J7</t>
        </is>
      </c>
      <c r="C44" t="inlineStr">
        <is>
          <t>VBUS 分圧（1MΩ / 57.6kΩ）＋ TLV9001 バッファ ＋ JST GH 3極出力。アナログ島はネットタイ NT1 一点で GND に接続</t>
        </is>
      </c>
      <c r="D44" t="inlineStr">
        <is>
          <t>2026-10-14 以降に追加。1.601V @ VBUS 29.4V（18.36 V/V）。+3V3 の消費が 1.9mA 増える</t>
        </is>
      </c>
    </row>
    <row r="45" ht="25.5" customHeight="1" s="49">
      <c r="A45" t="inlineStr">
        <is>
          <t>追加</t>
        </is>
      </c>
      <c r="B45" t="inlineStr">
        <is>
          <t>F4 / J8 / R54 / C36 / C69 / R73(DNP)</t>
        </is>
      </c>
      <c r="C45" t="inlineStr">
        <is>
          <t>VBUS_AUX（2A 63V ヒューズ経由、B2P-VH 垂直）/ EXT_GPIO の 100Ω 直列 / EXT_ADC1 のフィルタ</t>
        </is>
      </c>
      <c r="D45" t="inlineStr">
        <is>
          <t>2026-10-14 以降に追加・変更。R73 を DNP にしたため EXT_ADC1 に I_SENSE は来ない</t>
        </is>
      </c>
    </row>
    <row r="46" ht="31.5" customHeight="1" s="49"/>
    <row r="47" ht="31.5" customHeight="1" s="49">
      <c r="A47" s="96" t="inlineStr">
        <is>
          <t>v2.1.1 → v3.0.0 試験番号の対応</t>
        </is>
      </c>
    </row>
    <row r="48" ht="17.25" customHeight="1" s="49">
      <c r="A48" s="65" t="inlineStr">
        <is>
          <t>v2.1.1</t>
        </is>
      </c>
      <c r="B48" s="61" t="inlineStr">
        <is>
          <t>項目</t>
        </is>
      </c>
      <c r="C48" s="65" t="inlineStr">
        <is>
          <t>v3.0.0</t>
        </is>
      </c>
      <c r="D48" s="61" t="inlineStr">
        <is>
          <t>備考</t>
        </is>
      </c>
    </row>
    <row r="49" ht="17.25" customHeight="1" s="49">
      <c r="A49" s="62" t="inlineStr">
        <is>
          <t>0_通電前確認 0-1〜0-6</t>
        </is>
      </c>
      <c r="B49" s="63" t="inlineStr">
        <is>
          <t>目視・短絡・導通・ビア</t>
        </is>
      </c>
      <c r="C49" s="62" t="inlineStr">
        <is>
          <t>0_通電前確認 0-1 / 0-3〜0-5 / 0-8 / 0-9</t>
        </is>
      </c>
      <c r="D49" s="62" t="inlineStr">
        <is>
          <t>0-2（JP1）/ 0-6 / 0-7（3.3V）を挿入したため番号がずれる</t>
        </is>
      </c>
    </row>
    <row r="50" ht="17.25" customHeight="1" s="49">
      <c r="A50" s="62" t="inlineStr">
        <is>
          <t>0-7 / 0-8</t>
        </is>
      </c>
      <c r="B50" s="62" t="inlineStr">
        <is>
          <t>VREF バイアス経路 / 分圧ノードの分離</t>
        </is>
      </c>
      <c r="C50" s="62" t="inlineStr">
        <is>
          <t>0-18 / 0-19</t>
        </is>
      </c>
      <c r="D50" s="63" t="inlineStr">
        <is>
          <t>内容は同一</t>
        </is>
      </c>
    </row>
    <row r="51" ht="31.5" customHeight="1" s="49">
      <c r="A51" s="62" t="inlineStr">
        <is>
          <t>0-9</t>
        </is>
      </c>
      <c r="B51" s="62" t="inlineStr">
        <is>
          <t>F3 の導通</t>
        </is>
      </c>
      <c r="C51" s="62" t="inlineStr">
        <is>
          <t>0-20</t>
        </is>
      </c>
      <c r="D51" s="63" t="inlineStr">
        <is>
          <t>同一</t>
        </is>
      </c>
    </row>
    <row r="52" ht="17.25" customHeight="1" s="49">
      <c r="A52" s="62" t="inlineStr">
        <is>
          <t>0-10</t>
        </is>
      </c>
      <c r="B52" s="62" t="inlineStr">
        <is>
          <t>J4 のピン配置</t>
        </is>
      </c>
      <c r="C52" s="62" t="inlineStr">
        <is>
          <t>0-21</t>
        </is>
      </c>
      <c r="D52" s="63" t="inlineStr">
        <is>
          <t>繋がるネットが 3.3V 系ロジックに変わった</t>
        </is>
      </c>
    </row>
    <row r="53" ht="17.25" customHeight="1" s="49">
      <c r="A53" s="62" t="inlineStr">
        <is>
          <t>0-11</t>
        </is>
      </c>
      <c r="B53" s="62" t="inlineStr">
        <is>
          <t>Q4 ゲートプルダウン</t>
        </is>
      </c>
      <c r="C53" s="62" t="inlineStr">
        <is>
          <t>0-17</t>
        </is>
      </c>
      <c r="D53" s="63" t="inlineStr">
        <is>
          <t>同一</t>
        </is>
      </c>
    </row>
    <row r="54" ht="17.25" customHeight="1" s="49">
      <c r="A54" s="62" t="inlineStr">
        <is>
          <t>1_低電圧基本動作 1-1〜1-5</t>
        </is>
      </c>
      <c r="B54" s="62" t="inlineStr">
        <is>
          <t>UVLO / OVP / 非常停止</t>
        </is>
      </c>
      <c r="C54" s="62" t="inlineStr">
        <is>
          <t>3_低電圧基本動作 3-1〜3-5</t>
        </is>
      </c>
      <c r="D54" s="63" t="inlineStr">
        <is>
          <t>同一</t>
        </is>
      </c>
    </row>
    <row r="55" ht="31.5" customHeight="1" s="49">
      <c r="A55" s="62" t="inlineStr">
        <is>
          <t>1-6</t>
        </is>
      </c>
      <c r="B55" s="62" t="inlineStr">
        <is>
          <t>EN 電圧</t>
        </is>
      </c>
      <c r="C55" s="62" t="inlineStr">
        <is>
          <t>3-7</t>
        </is>
      </c>
      <c r="D55" s="63" t="inlineStr">
        <is>
          <t>★ 設計値が 3.9V → 2.68V に変更</t>
        </is>
      </c>
    </row>
    <row r="56" ht="31.5" customHeight="1" s="49">
      <c r="A56" s="62" t="inlineStr">
        <is>
          <t>1-7</t>
        </is>
      </c>
      <c r="B56" s="62" t="inlineStr">
        <is>
          <t>LED1 点灯</t>
        </is>
      </c>
      <c r="C56" s="62" t="inlineStr">
        <is>
          <t>3-9</t>
        </is>
      </c>
      <c r="D56" s="63" t="inlineStr">
        <is>
          <t>同一</t>
        </is>
      </c>
    </row>
    <row r="57" ht="31.5" customHeight="1" s="49">
      <c r="A57" s="62" t="inlineStr">
        <is>
          <t>1-8</t>
        </is>
      </c>
      <c r="B57" s="63" t="inlineStr">
        <is>
          <t>待機電流</t>
        </is>
      </c>
      <c r="C57" s="62" t="inlineStr">
        <is>
          <t>3-10</t>
        </is>
      </c>
      <c r="D57" s="63" t="inlineStr">
        <is>
          <t>★ 設計値が 60µA → 203µA → 約460µA に変更（U3 / IC5 の追加により再計算）</t>
        </is>
      </c>
    </row>
    <row r="58" ht="31.5" customHeight="1" s="49">
      <c r="A58" s="62" t="inlineStr">
        <is>
          <t>2_起動波形 2-1〜2-5</t>
        </is>
      </c>
      <c r="B58" s="63" t="inlineStr">
        <is>
          <t>入力容量 / ゲート / Vout / 突入 / TIMER</t>
        </is>
      </c>
      <c r="C58" s="62" t="inlineStr">
        <is>
          <t>4_起動波形 4-1 / 4-2 / 4-4 / 4-5 / 4-6</t>
        </is>
      </c>
      <c r="D58" s="62" t="inlineStr">
        <is>
          <t>4-3（Vgs 終値）と 4-7（TP5−TP2 容量）を独立項目として追加</t>
        </is>
      </c>
    </row>
    <row r="59" ht="31.5" customHeight="1" s="49">
      <c r="A59" s="62" t="inlineStr">
        <is>
          <t>3_熱特性 3-1〜3-3</t>
        </is>
      </c>
      <c r="B59" s="63" t="inlineStr">
        <is>
          <t>周囲温度 / Q1 / TH1（通常走行）</t>
        </is>
      </c>
      <c r="C59" s="62" t="inlineStr">
        <is>
          <t>7_熱特性 7-1 / 7-2 / 7-4</t>
        </is>
      </c>
      <c r="D59" s="62" t="inlineStr">
        <is>
          <t>7-3（Q3 温度）を追加</t>
        </is>
      </c>
    </row>
    <row r="60" ht="31.5" customHeight="1" s="49">
      <c r="A60" s="62" t="inlineStr">
        <is>
          <t>3-4〜3-7</t>
        </is>
      </c>
      <c r="B60" s="63" t="inlineStr">
        <is>
          <t>ストール時 Q1 / TH1 / 電流 / 遮断時間</t>
        </is>
      </c>
      <c r="C60" s="62" t="inlineStr">
        <is>
          <t>7-5 / 7-7 / 7-8 / 7-9</t>
        </is>
      </c>
      <c r="D60" s="62" t="inlineStr">
        <is>
          <t>7-6（ストール時 Q3）を追加</t>
        </is>
      </c>
    </row>
    <row r="61" ht="17.25" customHeight="1" s="49">
      <c r="A61" s="62" t="inlineStr">
        <is>
          <t>3-8〜3-10</t>
        </is>
      </c>
      <c r="B61" s="62" t="inlineStr">
        <is>
          <t>R11 / TH1 / C7（チョッパ連続導通）</t>
        </is>
      </c>
      <c r="C61" s="62" t="inlineStr">
        <is>
          <t>7-10 / 7-12 / 7-14</t>
        </is>
      </c>
      <c r="D61" s="62" t="inlineStr">
        <is>
          <t>7-11（TH2）と 7-13（TH2 の応答遅れ）を追加</t>
        </is>
      </c>
    </row>
    <row r="62" ht="17.25" customHeight="1" s="49">
      <c r="A62" s="62" t="inlineStr">
        <is>
          <t>3_熱特性 の R5 決定表</t>
        </is>
      </c>
      <c r="B62" s="62" t="inlineStr">
        <is>
          <t>—</t>
        </is>
      </c>
      <c r="C62" s="63" t="inlineStr">
        <is>
          <t>削除</t>
        </is>
      </c>
      <c r="D62" s="62" t="inlineStr">
        <is>
          <t>R5 が削除されたため</t>
        </is>
      </c>
    </row>
    <row r="63" ht="31.5" customHeight="1" s="49">
      <c r="A63" s="62" t="inlineStr">
        <is>
          <t>4_保護機能 4-1〜4-6</t>
        </is>
      </c>
      <c r="B63" s="63" t="inlineStr">
        <is>
          <t>遮断 / 復帰 / EN 電圧</t>
        </is>
      </c>
      <c r="C63" s="62" t="inlineStr">
        <is>
          <t>5_保護機能（マイコン）5-1〜5-4</t>
        </is>
      </c>
      <c r="D63" s="63" t="inlineStr">
        <is>
          <t>★ 判定が EN 電圧から温度に変更。4-2 / 4-4 / 4-6（EN 電圧）は項目ごと消滅</t>
        </is>
      </c>
    </row>
    <row r="64" ht="31.5" customHeight="1" s="49">
      <c r="A64" s="62" t="inlineStr">
        <is>
          <t>4-7 / 4-8</t>
        </is>
      </c>
      <c r="B64" s="63" t="inlineStr">
        <is>
          <t>ホットスワップ / 逆流阻止</t>
        </is>
      </c>
      <c r="C64" s="62" t="inlineStr">
        <is>
          <t>9_走行時総合 9-5 とあわせて実施</t>
        </is>
      </c>
      <c r="D64" s="63" t="inlineStr">
        <is>
          <t>パック 2 個が必要なためフェーズ 8 に移動</t>
        </is>
      </c>
    </row>
    <row r="65" ht="31.5" customHeight="1" s="49">
      <c r="A65" s="62" t="inlineStr">
        <is>
          <t>4-9</t>
        </is>
      </c>
      <c r="B65" s="62" t="inlineStr">
        <is>
          <t>OCP（任意）</t>
        </is>
      </c>
      <c r="C65" s="63" t="inlineStr">
        <is>
          <t>削除</t>
        </is>
      </c>
      <c r="D65" s="63" t="inlineStr">
        <is>
          <t>ファームウェア #8 / #13 で代替（5-10 / 5-11）</t>
        </is>
      </c>
    </row>
    <row r="66" ht="31.5" customHeight="1" s="49">
      <c r="A66" s="62" t="inlineStr">
        <is>
          <t>5_ブレーキチョッパ 5-1〜5-12</t>
        </is>
      </c>
      <c r="B66" s="63" t="inlineStr">
        <is>
          <t>チョッパ一式</t>
        </is>
      </c>
      <c r="C66" s="62" t="inlineStr">
        <is>
          <t>8_ブレーキチョッパ 8-1〜8-12</t>
        </is>
      </c>
      <c r="D66" s="63" t="inlineStr">
        <is>
          <t>内容は同一。8-13 / 8-14（CHOP_SENSE）を追加</t>
        </is>
      </c>
    </row>
    <row r="67" ht="31.5" customHeight="1" s="49">
      <c r="A67" s="62" t="inlineStr">
        <is>
          <t>6_走行時総合 6-1〜6-7</t>
        </is>
      </c>
      <c r="B67" s="63" t="inlineStr">
        <is>
          <t>走行時一式</t>
        </is>
      </c>
      <c r="C67" s="62" t="inlineStr">
        <is>
          <t>9_走行時総合 9-1〜9-7</t>
        </is>
      </c>
      <c r="D67" s="63" t="inlineStr">
        <is>
          <t>内容は同一。9-8〜9-12 を追加</t>
        </is>
      </c>
    </row>
    <row r="68" ht="17.25" customHeight="1" s="49">
      <c r="A68" s="62" t="inlineStr">
        <is>
          <t>7_GND分離 7-1 / 7-2</t>
        </is>
      </c>
      <c r="B68" s="62" t="inlineStr">
        <is>
          <t>TP3 − TP12</t>
        </is>
      </c>
      <c r="C68" s="62" t="inlineStr">
        <is>
          <t>10_GND分離 10-1 / 10-2</t>
        </is>
      </c>
      <c r="D68" s="62" t="inlineStr">
        <is>
          <t>10-3〜10-7 を追加</t>
        </is>
      </c>
    </row>
    <row r="69" ht="17.25" customHeight="1" s="49">
      <c r="A69" s="62" t="inlineStr">
        <is>
          <t>8_外部スイッチ・LED 8-1〜8-8</t>
        </is>
      </c>
      <c r="B69" s="63" t="inlineStr">
        <is>
          <t>スイッチ / LED / F3</t>
        </is>
      </c>
      <c r="C69" s="62" t="inlineStr">
        <is>
          <t>11_外部スイッチ・LED 11-1〜11-3 / 11-5〜11-9</t>
        </is>
      </c>
      <c r="D69" s="62" t="inlineStr">
        <is>
          <t>11-4（接点電流）と 11-10（EN_FB）を追加</t>
        </is>
      </c>
    </row>
    <row r="70" ht="17.25" customHeight="1" s="49">
      <c r="A70" s="62" t="inlineStr">
        <is>
          <t>9_ENしきい値選別 9-1〜9-3</t>
        </is>
      </c>
      <c r="B70" s="62" t="inlineStr">
        <is>
          <t>EN しきい値選別</t>
        </is>
      </c>
      <c r="C70" s="63" t="inlineStr">
        <is>
          <t>削除</t>
        </is>
      </c>
      <c r="D70" s="63" t="inlineStr">
        <is>
          <t>遮断点がファームの定数で決まるため不要</t>
        </is>
      </c>
    </row>
    <row r="71" ht="31.5" customHeight="1" s="49">
      <c r="A71" s="63" t="inlineStr">
        <is>
          <t>（新規）</t>
        </is>
      </c>
      <c r="B71" s="62" t="inlineStr">
        <is>
          <t>3.3V 電源</t>
        </is>
      </c>
      <c r="C71" s="62" t="inlineStr">
        <is>
          <t>1_3.3V電源 1-1〜1-12</t>
        </is>
      </c>
      <c r="D71" s="62" t="inlineStr">
        <is>
          <t>—</t>
        </is>
      </c>
    </row>
    <row r="72">
      <c r="A72" s="63" t="inlineStr">
        <is>
          <t>（新規）</t>
        </is>
      </c>
      <c r="B72" s="62" t="inlineStr">
        <is>
          <t>MCU 書き込みと基本動作</t>
        </is>
      </c>
      <c r="C72" s="62" t="inlineStr">
        <is>
          <t>2_MCU書き込みと基本動作 2-1〜2-22</t>
        </is>
      </c>
      <c r="D72" s="62" t="inlineStr">
        <is>
          <t>—</t>
        </is>
      </c>
    </row>
    <row r="73" ht="17.15" customHeight="1" s="49">
      <c r="A73" s="63" t="inlineStr">
        <is>
          <t>（新規）</t>
        </is>
      </c>
      <c r="B73" s="62" t="inlineStr">
        <is>
          <t>Q3 ゲート保護</t>
        </is>
      </c>
      <c r="C73" s="62" t="inlineStr">
        <is>
          <t>6_Q3ゲート保護 6-1〜6-6</t>
        </is>
      </c>
      <c r="D73" s="62" t="inlineStr">
        <is>
          <t>—</t>
        </is>
      </c>
    </row>
    <row r="74" ht="25.5" customHeight="1" s="49">
      <c r="A74" s="63" t="inlineStr">
        <is>
          <t>（新規）</t>
        </is>
      </c>
      <c r="B74" s="63" t="inlineStr">
        <is>
          <t>ファームウェア保護ロジック</t>
        </is>
      </c>
      <c r="C74" s="62" t="inlineStr">
        <is>
          <t>5_保護機能（マイコン）5-5〜5-16</t>
        </is>
      </c>
      <c r="D74" s="63" t="inlineStr">
        <is>
          <t>設計仕様書 6_ファームウェア仕様 #4〜#13 に対応</t>
        </is>
      </c>
    </row>
    <row r="75" ht="60.75" customHeight="1" s="49"/>
    <row r="76" ht="60.75" customHeight="1" s="49">
      <c r="A76" s="96" t="inlineStr">
        <is>
          <t>v2.1.1 からの申し送り事項</t>
        </is>
      </c>
    </row>
    <row r="77" ht="46.5" customHeight="1" s="49">
      <c r="A77" s="65" t="inlineStr">
        <is>
          <t>v2.1.1 の未了項目</t>
        </is>
      </c>
      <c r="B77" s="65" t="inlineStr">
        <is>
          <t>v3.0.0 での扱い</t>
        </is>
      </c>
    </row>
    <row r="78" ht="46.5" customHeight="1" s="49">
      <c r="A78" s="62" t="inlineStr">
        <is>
          <t>2-5 TIMER 波形（2 号機で未測定）</t>
        </is>
      </c>
      <c r="B78" s="62" t="inlineStr">
        <is>
          <t>4-6 で v3.0.0 基板で測る。2 号機（v2.1.1）でも測っておくと立ち上がり 102ms との対応が取れる</t>
        </is>
      </c>
    </row>
    <row r="79" ht="46.5" customHeight="1" s="49">
      <c r="A79" s="62" t="inlineStr">
        <is>
          <t>2-3 の立ち上がり 102ms（許容 87ms 超過）の切り分け</t>
        </is>
      </c>
      <c r="B79" s="62" t="inlineStr">
        <is>
          <t>4-7（TP5 − TP2 間容量）を先に測る。60〜65nF なら C9 / C15 が過大、50nF 前後なら IC3 の個体差</t>
        </is>
      </c>
    </row>
    <row r="80">
      <c r="A80" s="62" t="inlineStr">
        <is>
          <t>3-3 / 3-4 / 3-5（熱特性、1 号機破壊で未了）</t>
        </is>
      </c>
      <c r="B80" s="62" t="inlineStr">
        <is>
          <t>7-2〜7-7 で実施。T_trip / T_hard の確定に必要</t>
        </is>
      </c>
    </row>
    <row r="81" ht="31.5" customHeight="1" s="49">
      <c r="A81" s="62" t="inlineStr">
        <is>
          <t>6-6 / 6-7（回生プロファイル、未了）</t>
        </is>
      </c>
      <c r="B81" s="62" t="inlineStr">
        <is>
          <t>9-6 / 9-7 で実施。R11 の最終値とファームウェア #6 の閾値の両方を決める</t>
        </is>
      </c>
    </row>
    <row r="82" ht="31.5" customHeight="1" s="49">
      <c r="A82" s="62" t="inlineStr">
        <is>
          <t>4-2 / 4-4（EN しきい値による遮断・復帰）</t>
        </is>
      </c>
      <c r="B82" s="63" t="inlineStr">
        <is>
          <t>項目ごと消滅。5-2 / 5-4（温度による遮断・復帰）に置き換わった</t>
        </is>
      </c>
    </row>
    <row r="83" ht="31.5" customHeight="1" s="49"/>
    <row r="84">
      <c r="A84" s="69" t="inlineStr">
        <is>
          <t>※ v2.1.1 の 2 号機は破壊せずに保持してあります。v3.0.0 基板では測れない「v2.1.1 のままの状態」（EN 分圧方式、R51 / D12 なし）の比較データが必要になった場合に使えます。</t>
        </is>
      </c>
    </row>
    <row r="85">
      <c r="A85" s="69" t="inlineStr">
        <is>
          <t>※ 1 号機は 2026-10-08 に出力短絡で Q3 のゲート酸化膜が破壊され使用中止。この事故が R51 / D12 の追加とファームウェア #13 の根拠になっています。</t>
        </is>
      </c>
    </row>
    <row r="86">
      <c r="A86" s="70" t="inlineStr">
        <is>
          <t>※ 設計仕様書の版数は v2.3 ですが、基板と本試験仕様書は v3.0.0 です。設計仕様書 v3.0.0 では実測検証結果（熱抵抗・経路抵抗）を 7_レイアウト指示 に追記しています。</t>
        </is>
      </c>
    </row>
  </sheetData>
  <mergeCells count="7">
    <mergeCell ref="A76:B76"/>
    <mergeCell ref="A4:D4"/>
    <mergeCell ref="A86:D86"/>
    <mergeCell ref="A24:D24"/>
    <mergeCell ref="A85:D85"/>
    <mergeCell ref="A84:D84"/>
    <mergeCell ref="A47:D4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2026-10-14T11:27:03Z</dcterms:created>
  <dcterms:modified xmlns:dcterms="http://purl.org/dc/terms/" xmlns:xsi="http://www.w3.org/2001/XMLSchema-instance" xsi:type="dcterms:W3CDTF">2026-10-21T04:50:09Z</dcterms:modified>
  <cp:revision>0</cp:revision>
</cp:coreProperties>
</file>