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懸念点" sheetId="1" state="visible" r:id="rId3"/>
    <sheet name="電圧降下計算" sheetId="2" state="visible" r:id="rId4"/>
    <sheet name="案比較" sheetId="3" state="visible" r:id="rId5"/>
    <sheet name="ピン配置（20ピン）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<sst xmlns="http://schemas.openxmlformats.org/spreadsheetml/2006/main" count="174" uniqueCount="130">
  <si>
    <r>
      <rPr>
        <b val="true"/>
        <sz val="14"/>
        <rFont val="Arial"/>
        <family val="0"/>
        <charset val="1"/>
      </rPr>
      <t xml:space="preserve">CURRENT</t>
    </r>
    <r>
      <rPr>
        <b val="true"/>
        <sz val="14"/>
        <rFont val="Noto Sans CJK SC"/>
        <family val="2"/>
      </rPr>
      <t xml:space="preserve">／</t>
    </r>
    <r>
      <rPr>
        <b val="true"/>
        <sz val="14"/>
        <rFont val="Arial"/>
        <family val="0"/>
        <charset val="1"/>
      </rPr>
      <t xml:space="preserve">VOLTAGE</t>
    </r>
    <r>
      <rPr>
        <b val="true"/>
        <sz val="14"/>
        <rFont val="Noto Sans CJK SC"/>
        <family val="2"/>
      </rPr>
      <t xml:space="preserve">追加（</t>
    </r>
    <r>
      <rPr>
        <b val="true"/>
        <sz val="14"/>
        <rFont val="Arial"/>
        <family val="0"/>
        <charset val="1"/>
      </rPr>
      <t xml:space="preserve">18</t>
    </r>
    <r>
      <rPr>
        <b val="true"/>
        <sz val="14"/>
        <rFont val="Noto Sans CJK SC"/>
        <family val="2"/>
      </rPr>
      <t xml:space="preserve">〜</t>
    </r>
    <r>
      <rPr>
        <b val="true"/>
        <sz val="14"/>
        <rFont val="Arial"/>
        <family val="0"/>
        <charset val="1"/>
      </rPr>
      <t xml:space="preserve">20</t>
    </r>
    <r>
      <rPr>
        <b val="true"/>
        <sz val="14"/>
        <rFont val="Noto Sans CJK SC"/>
        <family val="2"/>
      </rPr>
      <t xml:space="preserve">ピン化）の懸念点と対策</t>
    </r>
  </si>
  <si>
    <r>
      <rPr>
        <sz val="10"/>
        <rFont val="Arial"/>
        <family val="0"/>
        <charset val="1"/>
      </rPr>
      <t xml:space="preserve">BEC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PM02</t>
    </r>
    <r>
      <rPr>
        <sz val="10"/>
        <rFont val="Noto Sans CJK SC"/>
        <family val="2"/>
      </rPr>
      <t xml:space="preserve">）は後部、</t>
    </r>
    <r>
      <rPr>
        <sz val="10"/>
        <rFont val="Arial"/>
        <family val="0"/>
        <charset val="1"/>
      </rPr>
      <t xml:space="preserve">CURRENT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VOLTAGE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3.3V</t>
    </r>
    <r>
      <rPr>
        <sz val="10"/>
        <rFont val="Noto Sans CJK SC"/>
        <family val="2"/>
      </rPr>
      <t xml:space="preserve">）と</t>
    </r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を前部へ送る前提。</t>
    </r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GND</t>
    </r>
    <r>
      <rPr>
        <sz val="10"/>
        <rFont val="Noto Sans CJK SC"/>
        <family val="2"/>
      </rPr>
      <t xml:space="preserve">各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ピンを採用（最終構成は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極ハーネス＋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極ハーネスの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極側）</t>
    </r>
  </si>
  <si>
    <t xml:space="preserve">No</t>
  </si>
  <si>
    <t xml:space="preserve">項目</t>
  </si>
  <si>
    <t xml:space="preserve">内容</t>
  </si>
  <si>
    <t xml:space="preserve">影響</t>
  </si>
  <si>
    <t xml:space="preserve">対策</t>
  </si>
  <si>
    <t xml:space="preserve">アナログ信号はノイズに弱い</t>
  </si>
  <si>
    <r>
      <rPr>
        <sz val="10"/>
        <rFont val="Arial"/>
        <family val="0"/>
        <charset val="1"/>
      </rPr>
      <t xml:space="preserve">CURRENT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VOLTAGE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3.3V</t>
    </r>
    <r>
      <rPr>
        <sz val="10"/>
        <rFont val="Noto Sans CJK SC"/>
        <family val="2"/>
      </rPr>
      <t xml:space="preserve">の電圧値を</t>
    </r>
    <r>
      <rPr>
        <sz val="10"/>
        <rFont val="Arial"/>
        <family val="0"/>
        <charset val="1"/>
      </rPr>
      <t xml:space="preserve">ADC</t>
    </r>
    <r>
      <rPr>
        <sz val="10"/>
        <rFont val="Noto Sans CJK SC"/>
        <family val="2"/>
      </rPr>
      <t xml:space="preserve">で読む。数十</t>
    </r>
    <r>
      <rPr>
        <sz val="10"/>
        <rFont val="Arial"/>
        <family val="0"/>
        <charset val="1"/>
      </rPr>
      <t xml:space="preserve">mV</t>
    </r>
    <r>
      <rPr>
        <sz val="10"/>
        <rFont val="Noto Sans CJK SC"/>
        <family val="2"/>
      </rPr>
      <t xml:space="preserve">のずれがそのまま測定誤差になる</t>
    </r>
  </si>
  <si>
    <t xml:space="preserve">電流・電圧の測定値のばらつき</t>
  </si>
  <si>
    <r>
      <rPr>
        <sz val="10"/>
        <rFont val="Arial"/>
        <family val="0"/>
        <charset val="1"/>
      </rPr>
      <t xml:space="preserve">SX(NE)</t>
    </r>
    <r>
      <rPr>
        <sz val="10"/>
        <rFont val="Noto Sans CJK SC"/>
        <family val="2"/>
      </rPr>
      <t xml:space="preserve">のシールド内のツイストペアに入れる。</t>
    </r>
    <r>
      <rPr>
        <sz val="10"/>
        <rFont val="Arial"/>
        <family val="0"/>
        <charset val="1"/>
      </rPr>
      <t xml:space="preserve">ArduPilot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ADC</t>
    </r>
    <r>
      <rPr>
        <sz val="10"/>
        <rFont val="Noto Sans CJK SC"/>
        <family val="2"/>
      </rPr>
      <t xml:space="preserve">値を平均化するため短いスパイクの影響は小さい</t>
    </r>
  </si>
  <si>
    <r>
      <rPr>
        <sz val="10"/>
        <rFont val="Arial"/>
        <family val="0"/>
        <charset val="1"/>
      </rPr>
      <t xml:space="preserve">GND</t>
    </r>
    <r>
      <rPr>
        <sz val="10"/>
        <rFont val="Noto Sans CJK SC"/>
        <family val="2"/>
      </rPr>
      <t xml:space="preserve">の電位差</t>
    </r>
  </si>
  <si>
    <t xml:space="preserve">アナログ信号の基準は後部のパワーモジュールのGND。5VのGND線に電流が流れると電圧降下（1Aで約50mV）が誤差になる</t>
  </si>
  <si>
    <t xml:space="preserve">電流値で数百mA〜1A程度のずれの可能性</t>
  </si>
  <si>
    <t xml:space="preserve">基準は5VのGNDではなく信号GND（RC信号の電流のみ）に取る。組立後にハーネス込みで校正（BATT_VOLT_MULT、BATT_AMP_PERVLT、BATT_AMP_OFFSET）</t>
  </si>
  <si>
    <r>
      <rPr>
        <sz val="10"/>
        <rFont val="Arial"/>
        <family val="0"/>
        <charset val="1"/>
      </rPr>
      <t xml:space="preserve">25V</t>
    </r>
    <r>
      <rPr>
        <sz val="10"/>
        <rFont val="Noto Sans CJK SC"/>
        <family val="2"/>
      </rPr>
      <t xml:space="preserve">の線との短絡</t>
    </r>
  </si>
  <si>
    <r>
      <rPr>
        <sz val="10"/>
        <rFont val="Arial"/>
        <family val="0"/>
        <charset val="1"/>
      </rPr>
      <t xml:space="preserve">Pixhawk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ADC</t>
    </r>
    <r>
      <rPr>
        <sz val="10"/>
        <rFont val="Noto Sans CJK SC"/>
        <family val="2"/>
      </rPr>
      <t xml:space="preserve">入力の上限は</t>
    </r>
    <r>
      <rPr>
        <sz val="10"/>
        <rFont val="Arial"/>
        <family val="0"/>
        <charset val="1"/>
      </rPr>
      <t xml:space="preserve">3.3V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SW COM/NC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LED+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7S LiPo</t>
    </r>
    <r>
      <rPr>
        <sz val="10"/>
        <rFont val="Noto Sans CJK SC"/>
        <family val="2"/>
      </rPr>
      <t xml:space="preserve">電圧）とつながると</t>
    </r>
    <r>
      <rPr>
        <sz val="10"/>
        <rFont val="Arial"/>
        <family val="0"/>
        <charset val="1"/>
      </rPr>
      <t xml:space="preserve">ADC</t>
    </r>
    <r>
      <rPr>
        <sz val="10"/>
        <rFont val="Noto Sans CJK SC"/>
        <family val="2"/>
      </rPr>
      <t xml:space="preserve">入力を壊す恐れ</t>
    </r>
  </si>
  <si>
    <r>
      <rPr>
        <sz val="10"/>
        <rFont val="Arial"/>
        <family val="0"/>
        <charset val="1"/>
      </rPr>
      <t xml:space="preserve">Pixhawk</t>
    </r>
    <r>
      <rPr>
        <sz val="10"/>
        <rFont val="Noto Sans CJK SC"/>
        <family val="2"/>
      </rPr>
      <t xml:space="preserve">の故障</t>
    </r>
  </si>
  <si>
    <r>
      <rPr>
        <sz val="10"/>
        <rFont val="Arial"/>
        <family val="0"/>
        <charset val="1"/>
      </rPr>
      <t xml:space="preserve">CURRENT/VOLTAGE</t>
    </r>
    <r>
      <rPr>
        <sz val="10"/>
        <rFont val="Noto Sans CJK SC"/>
        <family val="2"/>
      </rPr>
      <t xml:space="preserve">を</t>
    </r>
    <r>
      <rPr>
        <sz val="10"/>
        <rFont val="Arial"/>
        <family val="0"/>
        <charset val="1"/>
      </rPr>
      <t xml:space="preserve">25V</t>
    </r>
    <r>
      <rPr>
        <sz val="10"/>
        <rFont val="Noto Sans CJK SC"/>
        <family val="2"/>
      </rPr>
      <t xml:space="preserve">の線の隣に置かない（</t>
    </r>
    <r>
      <rPr>
        <sz val="10"/>
        <rFont val="Arial"/>
        <family val="0"/>
        <charset val="1"/>
      </rPr>
      <t xml:space="preserve">5V/GND</t>
    </r>
    <r>
      <rPr>
        <sz val="10"/>
        <rFont val="Noto Sans CJK SC"/>
        <family val="2"/>
      </rPr>
      <t xml:space="preserve">と</t>
    </r>
    <r>
      <rPr>
        <sz val="10"/>
        <rFont val="Arial"/>
        <family val="0"/>
        <charset val="1"/>
      </rPr>
      <t xml:space="preserve">RC</t>
    </r>
    <r>
      <rPr>
        <sz val="10"/>
        <rFont val="Noto Sans CJK SC"/>
        <family val="2"/>
      </rPr>
      <t xml:space="preserve">の間に配置）</t>
    </r>
  </si>
  <si>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の電圧降下（構成全体）</t>
    </r>
  </si>
  <si>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の供給先が</t>
    </r>
    <r>
      <rPr>
        <sz val="10"/>
        <rFont val="Arial"/>
        <family val="0"/>
        <charset val="1"/>
      </rPr>
      <t xml:space="preserve">Pixhawk</t>
    </r>
    <r>
      <rPr>
        <sz val="10"/>
        <rFont val="Noto Sans CJK SC"/>
        <family val="2"/>
      </rPr>
      <t xml:space="preserve">＋周辺機器になると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2A</t>
    </r>
    <r>
      <rPr>
        <sz val="10"/>
        <rFont val="Noto Sans CJK SC"/>
        <family val="2"/>
      </rPr>
      <t xml:space="preserve">流れる可能性。</t>
    </r>
    <r>
      <rPr>
        <sz val="10"/>
        <rFont val="Arial"/>
        <family val="0"/>
        <charset val="1"/>
      </rPr>
      <t xml:space="preserve">Pixhawk</t>
    </r>
    <r>
      <rPr>
        <sz val="10"/>
        <rFont val="Noto Sans CJK SC"/>
        <family val="2"/>
      </rPr>
      <t xml:space="preserve">の入力許容範囲は</t>
    </r>
    <r>
      <rPr>
        <sz val="10"/>
        <rFont val="Arial"/>
        <family val="0"/>
        <charset val="1"/>
      </rPr>
      <t xml:space="preserve">4.9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5.5V</t>
    </r>
    <r>
      <rPr>
        <sz val="10"/>
        <rFont val="Noto Sans CJK SC"/>
        <family val="2"/>
      </rPr>
      <t xml:space="preserve">程度</t>
    </r>
  </si>
  <si>
    <t xml:space="preserve">電流1A超でPixhawkの入力電圧が下限を割る恐れ</t>
  </si>
  <si>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と</t>
    </r>
    <r>
      <rPr>
        <sz val="10"/>
        <rFont val="Arial"/>
        <family val="0"/>
        <charset val="1"/>
      </rPr>
      <t xml:space="preserve">GND</t>
    </r>
    <r>
      <rPr>
        <sz val="10"/>
        <rFont val="Noto Sans CJK SC"/>
        <family val="2"/>
      </rPr>
      <t xml:space="preserve">を各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ピンにする（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極ハーネスで採用済み）。</t>
    </r>
    <r>
      <rPr>
        <sz val="10"/>
        <rFont val="Arial"/>
        <family val="0"/>
        <charset val="1"/>
      </rPr>
      <t xml:space="preserve">BEC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Holybro PM02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5.2V</t>
    </r>
    <r>
      <rPr>
        <sz val="10"/>
        <rFont val="Noto Sans CJK SC"/>
        <family val="2"/>
      </rPr>
      <t xml:space="preserve">出力）で、各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本なら</t>
    </r>
    <r>
      <rPr>
        <sz val="10"/>
        <rFont val="Arial"/>
        <family val="0"/>
        <charset val="1"/>
      </rPr>
      <t xml:space="preserve">3A</t>
    </r>
    <r>
      <rPr>
        <sz val="10"/>
        <rFont val="Noto Sans CJK SC"/>
        <family val="2"/>
      </rPr>
      <t xml:space="preserve">まで</t>
    </r>
    <r>
      <rPr>
        <sz val="10"/>
        <rFont val="Arial"/>
        <family val="0"/>
        <charset val="1"/>
      </rPr>
      <t xml:space="preserve">4.9V</t>
    </r>
    <r>
      <rPr>
        <sz val="10"/>
        <rFont val="Noto Sans CJK SC"/>
        <family val="2"/>
      </rPr>
      <t xml:space="preserve">以上を確保。組立後に全機器動作時の前部</t>
    </r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を実測</t>
    </r>
  </si>
  <si>
    <r>
      <rPr>
        <b val="true"/>
        <sz val="14"/>
        <rFont val="Arial"/>
        <family val="0"/>
        <charset val="1"/>
      </rPr>
      <t xml:space="preserve">5V</t>
    </r>
    <r>
      <rPr>
        <b val="true"/>
        <sz val="14"/>
        <rFont val="Noto Sans CJK SC"/>
        <family val="2"/>
      </rPr>
      <t xml:space="preserve">ラインの電圧降下計算</t>
    </r>
  </si>
  <si>
    <t xml:space="preserve">黄色セル（青字）が入力欄。値を変えると下表が再計算されます</t>
  </si>
  <si>
    <t xml:space="preserve">値</t>
  </si>
  <si>
    <t xml:space="preserve">単位</t>
  </si>
  <si>
    <t xml:space="preserve">根拠・備考</t>
  </si>
  <si>
    <r>
      <rPr>
        <sz val="10"/>
        <rFont val="Arial"/>
        <family val="0"/>
        <charset val="1"/>
      </rPr>
      <t xml:space="preserve">BEC</t>
    </r>
    <r>
      <rPr>
        <sz val="10"/>
        <rFont val="Noto Sans CJK SC"/>
        <family val="2"/>
      </rPr>
      <t xml:space="preserve">出力電圧</t>
    </r>
  </si>
  <si>
    <t xml:space="preserve">V</t>
  </si>
  <si>
    <t xml:space="preserve">Holybro PM02の仕様値（Switching regulator outputs: 5.2V, 3A max）。実機はテスターで実測して更新</t>
  </si>
  <si>
    <t xml:space="preserve">片道の電線長（①＋②＋③）</t>
  </si>
  <si>
    <t xml:space="preserve">m</t>
  </si>
  <si>
    <t xml:space="preserve">ハーネス0.6m＋前後の引き出し各0.3m（仮定）</t>
  </si>
  <si>
    <t xml:space="preserve">導体抵抗（SX(NE) 0.5sq）</t>
  </si>
  <si>
    <t xml:space="preserve">Ω/km</t>
  </si>
  <si>
    <r>
      <rPr>
        <sz val="10"/>
        <rFont val="Arial"/>
        <family val="0"/>
        <charset val="1"/>
      </rPr>
      <t xml:space="preserve">SX(NE)</t>
    </r>
    <r>
      <rPr>
        <sz val="10"/>
        <rFont val="Noto Sans CJK SC"/>
        <family val="2"/>
      </rPr>
      <t xml:space="preserve">の仕様値（</t>
    </r>
    <r>
      <rPr>
        <sz val="10"/>
        <rFont val="Arial"/>
        <family val="0"/>
        <charset val="1"/>
      </rPr>
      <t xml:space="preserve">20℃</t>
    </r>
    <r>
      <rPr>
        <sz val="10"/>
        <rFont val="Noto Sans CJK SC"/>
        <family val="2"/>
      </rPr>
      <t xml:space="preserve">、以下）</t>
    </r>
  </si>
  <si>
    <r>
      <rPr>
        <sz val="10"/>
        <rFont val="Arial"/>
        <family val="0"/>
        <charset val="1"/>
      </rPr>
      <t xml:space="preserve">Pixhawk</t>
    </r>
    <r>
      <rPr>
        <sz val="10"/>
        <rFont val="Noto Sans CJK SC"/>
        <family val="2"/>
      </rPr>
      <t xml:space="preserve">入力電圧の下限</t>
    </r>
  </si>
  <si>
    <t xml:space="preserve">一般的な目安。使用機種のデータシートで確認</t>
  </si>
  <si>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GND</t>
    </r>
    <r>
      <rPr>
        <sz val="10"/>
        <rFont val="Noto Sans CJK SC"/>
        <family val="2"/>
      </rPr>
      <t xml:space="preserve">の本数（各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本・不採用）</t>
    </r>
  </si>
  <si>
    <t xml:space="preserve">本</t>
  </si>
  <si>
    <t xml:space="preserve">各1本</t>
  </si>
  <si>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GND</t>
    </r>
    <r>
      <rPr>
        <sz val="10"/>
        <rFont val="Noto Sans CJK SC"/>
        <family val="2"/>
      </rPr>
      <t xml:space="preserve">の本数（採用：各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本）</t>
    </r>
  </si>
  <si>
    <t xml:space="preserve">各2本（並列）</t>
  </si>
  <si>
    <t xml:space="preserve">往復抵抗（1本あたり、Ω）</t>
  </si>
  <si>
    <r>
      <rPr>
        <b val="true"/>
        <sz val="11"/>
        <rFont val="Arial"/>
        <family val="0"/>
        <charset val="1"/>
      </rPr>
      <t xml:space="preserve">5V</t>
    </r>
    <r>
      <rPr>
        <b val="true"/>
        <sz val="11"/>
        <rFont val="Noto Sans CJK SC"/>
        <family val="2"/>
      </rPr>
      <t xml:space="preserve">の電流</t>
    </r>
    <r>
      <rPr>
        <b val="true"/>
        <sz val="11"/>
        <rFont val="Arial"/>
        <family val="0"/>
        <charset val="1"/>
      </rPr>
      <t xml:space="preserve">(A)</t>
    </r>
  </si>
  <si>
    <t xml:space="preserve">各1本 電圧降下(V)</t>
  </si>
  <si>
    <t xml:space="preserve">各1本 Pixhawk電圧(V)</t>
  </si>
  <si>
    <t xml:space="preserve">各1本 判定</t>
  </si>
  <si>
    <t xml:space="preserve">各2本（採用） 電圧降下(V)</t>
  </si>
  <si>
    <t xml:space="preserve">各2本（採用） Pixhawk電圧(V)</t>
  </si>
  <si>
    <t xml:space="preserve">各2本（採用） 判定</t>
  </si>
  <si>
    <t xml:space="preserve">注：GND線の電圧降下も往復抵抗に含めています。端子・コネクタの接触抵抗は含みません。</t>
  </si>
  <si>
    <t xml:space="preserve">5Vの合計消費電流は未確定（Pixhawk・GNSS・テレメトリ等すべて）。目安0.7〜1.5A。判明したらA列の電流値と比較する</t>
  </si>
  <si>
    <t xml:space="preserve">PM02の5V出力は最大3A。前部の全機器の合計消費電流は3A未満に収めること（表の3Aは上限の確認用）</t>
  </si>
  <si>
    <t xml:space="preserve">構成案の比較（案B＝5V・GND各2ピンを採用。その後コネクタは4極＋14極、ハーネスは2本構成に変更）</t>
  </si>
  <si>
    <t xml:space="preserve">案A：18ピン（不採用）</t>
  </si>
  <si>
    <t xml:space="preserve">案B：20ピン（採用）</t>
  </si>
  <si>
    <t xml:space="preserve">コネクタ（メス／オス）</t>
  </si>
  <si>
    <r>
      <rPr>
        <sz val="10"/>
        <rFont val="Arial"/>
        <family val="0"/>
        <charset val="1"/>
      </rPr>
      <t xml:space="preserve">5557-18R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5559-18P</t>
    </r>
  </si>
  <si>
    <r>
      <rPr>
        <sz val="10"/>
        <rFont val="Arial"/>
        <family val="0"/>
        <charset val="1"/>
      </rPr>
      <t xml:space="preserve">5557-20R</t>
    </r>
    <r>
      <rPr>
        <sz val="10"/>
        <rFont val="Noto Sans CJK SC"/>
        <family val="2"/>
      </rPr>
      <t xml:space="preserve">（モノタロウ </t>
    </r>
    <r>
      <rPr>
        <sz val="10"/>
        <rFont val="Arial"/>
        <family val="0"/>
        <charset val="1"/>
      </rPr>
      <t xml:space="preserve">08561567</t>
    </r>
    <r>
      <rPr>
        <sz val="10"/>
        <rFont val="Noto Sans CJK SC"/>
        <family val="2"/>
      </rPr>
      <t xml:space="preserve">）／</t>
    </r>
    <r>
      <rPr>
        <sz val="10"/>
        <rFont val="Arial"/>
        <family val="0"/>
        <charset val="1"/>
      </rPr>
      <t xml:space="preserve">5559-20P</t>
    </r>
    <r>
      <rPr>
        <sz val="10"/>
        <rFont val="Noto Sans CJK SC"/>
        <family val="2"/>
      </rPr>
      <t xml:space="preserve">（モノタロウ </t>
    </r>
    <r>
      <rPr>
        <sz val="10"/>
        <rFont val="Arial"/>
        <family val="0"/>
        <charset val="1"/>
      </rPr>
      <t xml:space="preserve">34886293</t>
    </r>
    <r>
      <rPr>
        <sz val="10"/>
        <rFont val="Noto Sans CJK SC"/>
        <family val="2"/>
      </rPr>
      <t xml:space="preserve">）</t>
    </r>
  </si>
  <si>
    <t xml:space="preserve">追加するピン</t>
  </si>
  <si>
    <r>
      <rPr>
        <sz val="10"/>
        <rFont val="Arial"/>
        <family val="0"/>
        <charset val="1"/>
      </rPr>
      <t xml:space="preserve">CURRENT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VOLTAGE</t>
    </r>
  </si>
  <si>
    <r>
      <rPr>
        <sz val="10"/>
        <rFont val="Arial"/>
        <family val="0"/>
        <charset val="1"/>
      </rPr>
      <t xml:space="preserve">CURRENT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VOLTAGE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本目）、</t>
    </r>
    <r>
      <rPr>
        <sz val="10"/>
        <rFont val="Arial"/>
        <family val="0"/>
        <charset val="1"/>
      </rPr>
      <t xml:space="preserve">GND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本目）</t>
    </r>
  </si>
  <si>
    <t xml:space="preserve">アナログの基準</t>
  </si>
  <si>
    <t xml:space="preserve">信号GND（RC信号の電流のみで5VのGNDより誤差が小さい）</t>
  </si>
  <si>
    <t xml:space="preserve">同左</t>
  </si>
  <si>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の電圧降下</t>
    </r>
  </si>
  <si>
    <t xml:space="preserve">電流1Aを超えると不足の可能性</t>
  </si>
  <si>
    <t xml:space="preserve">半分に減る</t>
  </si>
  <si>
    <t xml:space="preserve">信号ケーブル</t>
  </si>
  <si>
    <r>
      <rPr>
        <sz val="10"/>
        <rFont val="Arial"/>
        <family val="0"/>
        <charset val="1"/>
      </rPr>
      <t xml:space="preserve">SX(NE) 0.5sq×6P</t>
    </r>
    <r>
      <rPr>
        <sz val="10"/>
        <rFont val="Noto Sans CJK SC"/>
        <family val="2"/>
      </rPr>
      <t xml:space="preserve">（ペア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CURRENT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VOLTAGE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</si>
  <si>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SX(NE) 0.5sq×7P</t>
    </r>
    <r>
      <rPr>
        <sz val="10"/>
        <rFont val="Noto Sans CJK SC"/>
        <family val="2"/>
      </rPr>
      <t xml:space="preserve">（モノタロウ </t>
    </r>
    <r>
      <rPr>
        <sz val="10"/>
        <rFont val="Arial"/>
        <family val="0"/>
        <charset val="1"/>
      </rPr>
      <t xml:space="preserve">2m</t>
    </r>
    <r>
      <rPr>
        <sz val="10"/>
        <rFont val="Noto Sans CJK SC"/>
        <family val="2"/>
      </rPr>
      <t xml:space="preserve">巻 </t>
    </r>
    <r>
      <rPr>
        <sz val="10"/>
        <rFont val="Arial"/>
        <family val="0"/>
        <charset val="1"/>
      </rPr>
      <t xml:space="preserve">34956381</t>
    </r>
    <r>
      <rPr>
        <sz val="10"/>
        <rFont val="Noto Sans CJK SC"/>
        <family val="2"/>
      </rPr>
      <t xml:space="preserve">）（ペア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CURRENT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VOLTAGE</t>
    </r>
    <r>
      <rPr>
        <sz val="10"/>
        <rFont val="Noto Sans CJK SC"/>
        <family val="2"/>
      </rPr>
      <t xml:space="preserve">、ペア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GND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本目）</t>
    </r>
  </si>
  <si>
    <t xml:space="preserve">判断の基準</t>
  </si>
  <si>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の合計消費電流が</t>
    </r>
    <r>
      <rPr>
        <sz val="10"/>
        <rFont val="Arial"/>
        <family val="0"/>
        <charset val="1"/>
      </rPr>
      <t xml:space="preserve">1A</t>
    </r>
    <r>
      <rPr>
        <sz val="10"/>
        <rFont val="Noto Sans CJK SC"/>
        <family val="2"/>
      </rPr>
      <t xml:space="preserve">未満なら可</t>
    </r>
  </si>
  <si>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の合計消費電流が</t>
    </r>
    <r>
      <rPr>
        <sz val="10"/>
        <rFont val="Arial"/>
        <family val="0"/>
        <charset val="1"/>
      </rPr>
      <t xml:space="preserve">1A</t>
    </r>
    <r>
      <rPr>
        <sz val="10"/>
        <rFont val="Noto Sans CJK SC"/>
        <family val="2"/>
      </rPr>
      <t xml:space="preserve">以上、または不明な場合</t>
    </r>
  </si>
  <si>
    <t xml:space="preserve">未確認事項</t>
  </si>
  <si>
    <t xml:space="preserve">前部の5Vから給電する機器（Pixhawk、GNSS、テレメトリ等）の合計消費電流</t>
  </si>
  <si>
    <t xml:space="preserve">決定</t>
  </si>
  <si>
    <t xml:space="preserve">—</t>
  </si>
  <si>
    <t xml:space="preserve">5Vの合計消費電流が不明で、Pixhawkと周辺機器すべてに給電するため、電圧降下に余裕のある20ピンを採用</t>
  </si>
  <si>
    <r>
      <rPr>
        <b val="true"/>
        <sz val="14"/>
        <rFont val="Arial"/>
        <family val="0"/>
        <charset val="1"/>
      </rPr>
      <t xml:space="preserve">20</t>
    </r>
    <r>
      <rPr>
        <b val="true"/>
        <sz val="14"/>
        <rFont val="Noto Sans CJK SC"/>
        <family val="2"/>
      </rPr>
      <t xml:space="preserve">ピン（</t>
    </r>
    <r>
      <rPr>
        <b val="true"/>
        <sz val="14"/>
        <rFont val="Arial"/>
        <family val="0"/>
        <charset val="1"/>
      </rPr>
      <t xml:space="preserve">2×10</t>
    </r>
    <r>
      <rPr>
        <b val="true"/>
        <sz val="14"/>
        <rFont val="Noto Sans CJK SC"/>
        <family val="2"/>
      </rPr>
      <t xml:space="preserve">）ピン配置（検討時の案。最終構成は</t>
    </r>
    <r>
      <rPr>
        <b val="true"/>
        <sz val="14"/>
        <rFont val="Arial"/>
        <family val="0"/>
        <charset val="1"/>
      </rPr>
      <t xml:space="preserve">4</t>
    </r>
    <r>
      <rPr>
        <b val="true"/>
        <sz val="14"/>
        <rFont val="Noto Sans CJK SC"/>
        <family val="2"/>
      </rPr>
      <t xml:space="preserve">極ハーネス＋</t>
    </r>
    <r>
      <rPr>
        <b val="true"/>
        <sz val="14"/>
        <rFont val="Arial"/>
        <family val="0"/>
        <charset val="1"/>
      </rPr>
      <t xml:space="preserve">14</t>
    </r>
    <r>
      <rPr>
        <b val="true"/>
        <sz val="14"/>
        <rFont val="Noto Sans CJK SC"/>
        <family val="2"/>
      </rPr>
      <t xml:space="preserve">極ハーネス）</t>
    </r>
  </si>
  <si>
    <t xml:space="preserve">最終のピン配置は rover_harness_bom_plan2_4p14p.xlsx の「ピン配置」シートを参照。並び順（5V/GND→CURR/VOLT→RC→信号GND/ドレイン→SW→LED）は14極側に引き継ぎ</t>
  </si>
  <si>
    <t xml:space="preserve">列</t>
  </si>
  <si>
    <t xml:space="preserve">段</t>
  </si>
  <si>
    <t xml:space="preserve">信号</t>
  </si>
  <si>
    <t xml:space="preserve">区分</t>
  </si>
  <si>
    <t xml:space="preserve">電線・備考</t>
  </si>
  <si>
    <t xml:space="preserve">上</t>
  </si>
  <si>
    <t xml:space="preserve">右M＋</t>
  </si>
  <si>
    <t xml:space="preserve">モーター</t>
  </si>
  <si>
    <r>
      <rPr>
        <sz val="10"/>
        <rFont val="Arial"/>
        <family val="0"/>
        <charset val="1"/>
      </rPr>
      <t xml:space="preserve">AV1.25 </t>
    </r>
    <r>
      <rPr>
        <sz val="10"/>
        <rFont val="Noto Sans CJK SC"/>
        <family val="2"/>
      </rPr>
      <t xml:space="preserve">赤</t>
    </r>
  </si>
  <si>
    <t xml:space="preserve">下</t>
  </si>
  <si>
    <t xml:space="preserve">左M＋</t>
  </si>
  <si>
    <t xml:space="preserve">右M−</t>
  </si>
  <si>
    <r>
      <rPr>
        <sz val="10"/>
        <rFont val="Arial"/>
        <family val="0"/>
        <charset val="1"/>
      </rPr>
      <t xml:space="preserve">AV1.25 </t>
    </r>
    <r>
      <rPr>
        <sz val="10"/>
        <rFont val="Noto Sans CJK SC"/>
        <family val="2"/>
      </rPr>
      <t xml:space="preserve">黒</t>
    </r>
  </si>
  <si>
    <t xml:space="preserve">左M−</t>
  </si>
  <si>
    <t xml:space="preserve">空き</t>
  </si>
  <si>
    <t xml:space="preserve">5V</t>
  </si>
  <si>
    <t xml:space="preserve">電源</t>
  </si>
  <si>
    <r>
      <rPr>
        <sz val="10"/>
        <rFont val="Arial"/>
        <family val="0"/>
        <charset val="1"/>
      </rPr>
      <t xml:space="preserve">SX(NE) </t>
    </r>
    <r>
      <rPr>
        <sz val="10"/>
        <rFont val="Noto Sans CJK SC"/>
        <family val="2"/>
      </rPr>
      <t xml:space="preserve">ペア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</si>
  <si>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GND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戻り）</t>
    </r>
  </si>
  <si>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本目）</t>
    </r>
  </si>
  <si>
    <r>
      <rPr>
        <sz val="10"/>
        <rFont val="Arial"/>
        <family val="0"/>
        <charset val="1"/>
      </rPr>
      <t xml:space="preserve">SX(NE) </t>
    </r>
    <r>
      <rPr>
        <sz val="10"/>
        <rFont val="Noto Sans CJK SC"/>
        <family val="2"/>
      </rPr>
      <t xml:space="preserve">ペア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5V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GND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本目、列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と並列接続）</t>
    </r>
  </si>
  <si>
    <r>
      <rPr>
        <sz val="10"/>
        <rFont val="Arial"/>
        <family val="0"/>
        <charset val="1"/>
      </rPr>
      <t xml:space="preserve">GND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本目）</t>
    </r>
  </si>
  <si>
    <r>
      <rPr>
        <sz val="10"/>
        <rFont val="Arial"/>
        <family val="0"/>
        <charset val="1"/>
      </rPr>
      <t xml:space="preserve">SX(NE) </t>
    </r>
    <r>
      <rPr>
        <sz val="10"/>
        <rFont val="Noto Sans CJK SC"/>
        <family val="2"/>
      </rPr>
      <t xml:space="preserve">ペア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（列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GND</t>
    </r>
    <r>
      <rPr>
        <sz val="10"/>
        <rFont val="Noto Sans CJK SC"/>
        <family val="2"/>
      </rPr>
      <t xml:space="preserve">と並列接続）</t>
    </r>
  </si>
  <si>
    <t xml:space="preserve">CURRENT</t>
  </si>
  <si>
    <t xml:space="preserve">アナログ</t>
  </si>
  <si>
    <r>
      <rPr>
        <sz val="10"/>
        <rFont val="Arial"/>
        <family val="0"/>
        <charset val="1"/>
      </rPr>
      <t xml:space="preserve">SX(NE) </t>
    </r>
    <r>
      <rPr>
        <sz val="10"/>
        <rFont val="Noto Sans CJK SC"/>
        <family val="2"/>
      </rPr>
      <t xml:space="preserve">ペア</t>
    </r>
    <r>
      <rPr>
        <sz val="10"/>
        <rFont val="Arial"/>
        <family val="0"/>
        <charset val="1"/>
      </rPr>
      <t xml:space="preserve">6</t>
    </r>
  </si>
  <si>
    <t xml:space="preserve">VOLTAGE</t>
  </si>
  <si>
    <r>
      <rPr>
        <sz val="10"/>
        <rFont val="Arial"/>
        <family val="0"/>
        <charset val="1"/>
      </rPr>
      <t xml:space="preserve">RC</t>
    </r>
    <r>
      <rPr>
        <sz val="10"/>
        <rFont val="Noto Sans CJK SC"/>
        <family val="2"/>
      </rPr>
      <t xml:space="preserve">右</t>
    </r>
  </si>
  <si>
    <t xml:space="preserve">RC</t>
  </si>
  <si>
    <r>
      <rPr>
        <sz val="10"/>
        <rFont val="Arial"/>
        <family val="0"/>
        <charset val="1"/>
      </rPr>
      <t xml:space="preserve">SX(NE) </t>
    </r>
    <r>
      <rPr>
        <sz val="10"/>
        <rFont val="Noto Sans CJK SC"/>
        <family val="2"/>
      </rPr>
      <t xml:space="preserve">ペア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</si>
  <si>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RC</t>
    </r>
    <r>
      <rPr>
        <sz val="10"/>
        <rFont val="Noto Sans CJK SC"/>
        <family val="2"/>
      </rPr>
      <t xml:space="preserve">左</t>
    </r>
  </si>
  <si>
    <r>
      <rPr>
        <sz val="10"/>
        <rFont val="Arial"/>
        <family val="0"/>
        <charset val="1"/>
      </rPr>
      <t xml:space="preserve">SX(NE) </t>
    </r>
    <r>
      <rPr>
        <sz val="10"/>
        <rFont val="Noto Sans CJK SC"/>
        <family val="2"/>
      </rPr>
      <t xml:space="preserve">ペア</t>
    </r>
    <r>
      <rPr>
        <sz val="10"/>
        <rFont val="Arial"/>
        <family val="0"/>
        <charset val="1"/>
      </rPr>
      <t xml:space="preserve">2</t>
    </r>
  </si>
  <si>
    <t xml:space="preserve">信号GND</t>
  </si>
  <si>
    <t xml:space="preserve">GND</t>
  </si>
  <si>
    <t xml:space="preserve">ペア1・2の相手線（ダブル圧着）。アナログの基準にも使用</t>
  </si>
  <si>
    <t xml:space="preserve">ドレイン</t>
  </si>
  <si>
    <r>
      <rPr>
        <sz val="10"/>
        <rFont val="Arial"/>
        <family val="0"/>
        <charset val="1"/>
      </rPr>
      <t xml:space="preserve">MDDS30</t>
    </r>
    <r>
      <rPr>
        <sz val="10"/>
        <rFont val="Noto Sans CJK SC"/>
        <family val="2"/>
      </rPr>
      <t xml:space="preserve">側のみ接地</t>
    </r>
  </si>
  <si>
    <t xml:space="preserve">SW COM</t>
  </si>
  <si>
    <t xml:space="preserve">25V</t>
  </si>
  <si>
    <r>
      <rPr>
        <sz val="10"/>
        <rFont val="Arial"/>
        <family val="0"/>
        <charset val="1"/>
      </rPr>
      <t xml:space="preserve">SX(NE) </t>
    </r>
    <r>
      <rPr>
        <sz val="10"/>
        <rFont val="Noto Sans CJK SC"/>
        <family val="2"/>
      </rPr>
      <t xml:space="preserve">ペア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、直列抵抗で電流制限</t>
    </r>
  </si>
  <si>
    <t xml:space="preserve">SW NC</t>
  </si>
  <si>
    <r>
      <rPr>
        <sz val="10"/>
        <rFont val="Arial"/>
        <family val="0"/>
        <charset val="1"/>
      </rPr>
      <t xml:space="preserve">SX(NE) </t>
    </r>
    <r>
      <rPr>
        <sz val="10"/>
        <rFont val="Noto Sans CJK SC"/>
        <family val="2"/>
      </rPr>
      <t xml:space="preserve">ペア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</si>
  <si>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LED</t>
    </r>
    <r>
      <rPr>
        <sz val="10"/>
        <rFont val="Noto Sans CJK SC"/>
        <family val="2"/>
      </rPr>
      <t xml:space="preserve">＋</t>
    </r>
  </si>
  <si>
    <r>
      <rPr>
        <sz val="10"/>
        <rFont val="Arial"/>
        <family val="0"/>
        <charset val="1"/>
      </rPr>
      <t xml:space="preserve">SX(NE) </t>
    </r>
    <r>
      <rPr>
        <sz val="10"/>
        <rFont val="Noto Sans CJK SC"/>
        <family val="2"/>
      </rPr>
      <t xml:space="preserve">ペア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、ポリスイッチで保護</t>
    </r>
  </si>
  <si>
    <t xml:space="preserve">LED−</t>
  </si>
  <si>
    <r>
      <rPr>
        <sz val="10"/>
        <rFont val="Arial"/>
        <family val="0"/>
        <charset val="1"/>
      </rPr>
      <t xml:space="preserve">SX(NE) </t>
    </r>
    <r>
      <rPr>
        <sz val="10"/>
        <rFont val="Noto Sans CJK SC"/>
        <family val="2"/>
      </rPr>
      <t xml:space="preserve">ペア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、電源基板</t>
    </r>
    <r>
      <rPr>
        <sz val="10"/>
        <rFont val="Arial"/>
        <family val="0"/>
        <charset val="1"/>
      </rPr>
      <t xml:space="preserve">GND</t>
    </r>
    <r>
      <rPr>
        <sz val="10"/>
        <rFont val="Noto Sans CJK SC"/>
        <family val="2"/>
      </rPr>
      <t xml:space="preserve">へ専用線</t>
    </r>
  </si>
  <si>
    <t xml:space="preserve">区分の色：オレンジ＝モーター電力、灰＝電源・GND、紫＝アナログ（0〜3.3V）、緑＝RC信号、ピンク＝7S LiPo電圧（電流制限あり）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</si>
</sst>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name val="Arial"/>
      <family val="0"/>
      <charset val="1"/>
    </font>
    <font>
      <b val="true"/>
      <sz val="11"/>
      <name val="Noto Sans CJK SC"/>
      <family val="2"/>
      <charset val="1"/>
    </font>
    <font>
      <sz val="10"/>
      <name val="Noto Sans CJK SC"/>
      <family val="2"/>
      <charset val="1"/>
    </font>
    <font>
      <sz val="10"/>
      <color rgb="FF0000FF"/>
      <name val="Arial"/>
      <family val="0"/>
      <charset val="1"/>
    </font>
    <font>
      <b val="true"/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1"/>
      <name val="Noto Sans CJK SC"/>
      <family val="2"/>
    </font>
    <font>
      <b val="true"/>
      <sz val="14"/>
      <name val="Noto Sans CJK SC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E2D9F3"/>
      </patternFill>
    </fill>
    <fill>
      <patternFill patternType="solid">
        <fgColor rgb="FFFFFF00"/>
        <bgColor rgb="FFFFFF00"/>
      </patternFill>
    </fill>
    <fill>
      <patternFill patternType="solid">
        <fgColor rgb="FFFBE2D5"/>
        <bgColor rgb="FFFCE4EC"/>
      </patternFill>
    </fill>
    <fill>
      <patternFill patternType="solid">
        <fgColor rgb="FFFFFFFF"/>
        <bgColor rgb="FFEDEDED"/>
      </patternFill>
    </fill>
    <fill>
      <patternFill patternType="solid">
        <fgColor rgb="FFEDEDED"/>
        <bgColor rgb="FFFCE4EC"/>
      </patternFill>
    </fill>
    <fill>
      <patternFill patternType="solid">
        <fgColor rgb="FFE2D9F3"/>
        <bgColor rgb="FFD9E1F2"/>
      </patternFill>
    </fill>
    <fill>
      <patternFill patternType="solid">
        <fgColor rgb="FFD9F2EC"/>
        <bgColor rgb="FFEDEDED"/>
      </patternFill>
    </fill>
    <fill>
      <patternFill patternType="solid">
        <fgColor rgb="FFFCE4EC"/>
        <bgColor rgb="FFFBE2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D9F2EC"/>
      <rgbColor rgb="FF660066"/>
      <rgbColor rgb="FFFF8080"/>
      <rgbColor rgb="FF0066CC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CE4EC"/>
      <rgbColor rgb="FF99CCFF"/>
      <rgbColor rgb="FFFF99CC"/>
      <rgbColor rgb="FFCC99FF"/>
      <rgbColor rgb="FFFBE2D5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48"/>
    <col collapsed="false" customWidth="true" hidden="false" outlineLevel="0" max="4" min="4" style="1" width="28"/>
    <col collapsed="false" customWidth="true" hidden="false" outlineLevel="0" max="5" min="5" style="1" width="52"/>
  </cols>
  <sheetData>
    <row r="1" customFormat="false" ht="21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6.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customFormat="false" ht="29.25" hidden="false" customHeight="true" outlineLevel="0" collapsed="false">
      <c r="A5" s="6" t="n">
        <v>1</v>
      </c>
      <c r="B5" s="7" t="s">
        <v>7</v>
      </c>
      <c r="C5" s="6" t="s">
        <v>8</v>
      </c>
      <c r="D5" s="7" t="s">
        <v>9</v>
      </c>
      <c r="E5" s="6" t="s">
        <v>10</v>
      </c>
    </row>
    <row r="6" customFormat="false" ht="57.75" hidden="false" customHeight="true" outlineLevel="0" collapsed="false">
      <c r="A6" s="6" t="n">
        <v>2</v>
      </c>
      <c r="B6" s="6" t="s">
        <v>11</v>
      </c>
      <c r="C6" s="7" t="s">
        <v>12</v>
      </c>
      <c r="D6" s="7" t="s">
        <v>13</v>
      </c>
      <c r="E6" s="7" t="s">
        <v>14</v>
      </c>
    </row>
    <row r="7" customFormat="false" ht="29.25" hidden="false" customHeight="true" outlineLevel="0" collapsed="false">
      <c r="A7" s="6" t="n">
        <v>3</v>
      </c>
      <c r="B7" s="6" t="s">
        <v>15</v>
      </c>
      <c r="C7" s="6" t="s">
        <v>16</v>
      </c>
      <c r="D7" s="6" t="s">
        <v>17</v>
      </c>
      <c r="E7" s="6" t="s">
        <v>18</v>
      </c>
    </row>
    <row r="8" customFormat="false" ht="29.25" hidden="false" customHeight="true" outlineLevel="0" collapsed="false">
      <c r="A8" s="6" t="n">
        <v>4</v>
      </c>
      <c r="B8" s="6" t="s">
        <v>19</v>
      </c>
      <c r="C8" s="6" t="s">
        <v>20</v>
      </c>
      <c r="D8" s="7" t="s">
        <v>21</v>
      </c>
      <c r="E8" s="6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2"/>
  </cols>
  <sheetData>
    <row r="1" customFormat="false" ht="21" hidden="false" customHeight="true" outlineLevel="0" collapsed="false">
      <c r="A1" s="2" t="s">
        <v>23</v>
      </c>
    </row>
    <row r="2" customFormat="false" ht="15" hidden="false" customHeight="true" outlineLevel="0" collapsed="false">
      <c r="A2" s="8" t="s">
        <v>24</v>
      </c>
    </row>
    <row r="4" customFormat="false" ht="16.5" hidden="false" customHeight="true" outlineLevel="0" collapsed="false">
      <c r="A4" s="5" t="s">
        <v>3</v>
      </c>
      <c r="B4" s="5" t="s">
        <v>25</v>
      </c>
      <c r="C4" s="5" t="s">
        <v>26</v>
      </c>
      <c r="D4" s="5" t="s">
        <v>27</v>
      </c>
    </row>
    <row r="5" customFormat="false" ht="72" hidden="false" customHeight="true" outlineLevel="0" collapsed="false">
      <c r="A5" s="6" t="s">
        <v>28</v>
      </c>
      <c r="B5" s="9" t="n">
        <v>5.2</v>
      </c>
      <c r="C5" s="6" t="s">
        <v>29</v>
      </c>
      <c r="D5" s="7" t="s">
        <v>30</v>
      </c>
    </row>
    <row r="6" customFormat="false" ht="57.75" hidden="false" customHeight="true" outlineLevel="0" collapsed="false">
      <c r="A6" s="7" t="s">
        <v>31</v>
      </c>
      <c r="B6" s="9" t="n">
        <v>1.2</v>
      </c>
      <c r="C6" s="6" t="s">
        <v>32</v>
      </c>
      <c r="D6" s="7" t="s">
        <v>33</v>
      </c>
    </row>
    <row r="7" customFormat="false" ht="43.5" hidden="false" customHeight="true" outlineLevel="0" collapsed="false">
      <c r="A7" s="7" t="s">
        <v>34</v>
      </c>
      <c r="B7" s="9" t="n">
        <v>39.8</v>
      </c>
      <c r="C7" s="6" t="s">
        <v>35</v>
      </c>
      <c r="D7" s="6" t="s">
        <v>36</v>
      </c>
    </row>
    <row r="8" customFormat="false" ht="57.75" hidden="false" customHeight="true" outlineLevel="0" collapsed="false">
      <c r="A8" s="6" t="s">
        <v>37</v>
      </c>
      <c r="B8" s="9" t="n">
        <v>4.9</v>
      </c>
      <c r="C8" s="6" t="s">
        <v>29</v>
      </c>
      <c r="D8" s="7" t="s">
        <v>38</v>
      </c>
    </row>
    <row r="9" customFormat="false" ht="15" hidden="false" customHeight="true" outlineLevel="0" collapsed="false">
      <c r="A9" s="6" t="s">
        <v>39</v>
      </c>
      <c r="B9" s="9" t="n">
        <v>1</v>
      </c>
      <c r="C9" s="7" t="s">
        <v>40</v>
      </c>
      <c r="D9" s="7" t="s">
        <v>41</v>
      </c>
    </row>
    <row r="10" customFormat="false" ht="29.25" hidden="false" customHeight="true" outlineLevel="0" collapsed="false">
      <c r="A10" s="6" t="s">
        <v>42</v>
      </c>
      <c r="B10" s="9" t="n">
        <v>2</v>
      </c>
      <c r="C10" s="7" t="s">
        <v>40</v>
      </c>
      <c r="D10" s="7" t="s">
        <v>43</v>
      </c>
    </row>
    <row r="12" customFormat="false" ht="15" hidden="false" customHeight="true" outlineLevel="0" collapsed="false">
      <c r="A12" s="10" t="s">
        <v>44</v>
      </c>
      <c r="B12" s="11" t="n">
        <f aca="false">B6*2*B7/1000</f>
        <v>0.09552</v>
      </c>
    </row>
    <row r="14" customFormat="false" ht="32.25" hidden="false" customHeight="true" outlineLevel="0" collapsed="false">
      <c r="A14" s="12" t="s">
        <v>45</v>
      </c>
      <c r="B14" s="13" t="s">
        <v>46</v>
      </c>
      <c r="C14" s="13" t="s">
        <v>47</v>
      </c>
      <c r="D14" s="13" t="s">
        <v>48</v>
      </c>
      <c r="E14" s="13" t="s">
        <v>49</v>
      </c>
      <c r="F14" s="13" t="s">
        <v>50</v>
      </c>
      <c r="G14" s="13" t="s">
        <v>51</v>
      </c>
    </row>
    <row r="15" customFormat="false" ht="15" hidden="false" customHeight="true" outlineLevel="0" collapsed="false">
      <c r="A15" s="14" t="n">
        <v>0.5</v>
      </c>
      <c r="B15" s="15" t="n">
        <f aca="false">A15*$B$12/$B$9</f>
        <v>0.04776</v>
      </c>
      <c r="C15" s="15" t="n">
        <f aca="false">$B$5-B15</f>
        <v>5.15224</v>
      </c>
      <c r="D15" s="16" t="str">
        <f aca="false">IF(C15&gt;=$B$8,"OK","下限割れ")</f>
        <v>OK</v>
      </c>
      <c r="E15" s="15" t="n">
        <f aca="false">A15*$B$12/$B$10</f>
        <v>0.02388</v>
      </c>
      <c r="F15" s="15" t="n">
        <f aca="false">$B$5-E15</f>
        <v>5.17612</v>
      </c>
      <c r="G15" s="16" t="str">
        <f aca="false">IF(F15&gt;=$B$8,"OK","下限割れ")</f>
        <v>OK</v>
      </c>
    </row>
    <row r="16" customFormat="false" ht="15" hidden="false" customHeight="true" outlineLevel="0" collapsed="false">
      <c r="A16" s="14" t="n">
        <v>1</v>
      </c>
      <c r="B16" s="15" t="n">
        <f aca="false">A16*$B$12/$B$9</f>
        <v>0.09552</v>
      </c>
      <c r="C16" s="15" t="n">
        <f aca="false">$B$5-B16</f>
        <v>5.10448</v>
      </c>
      <c r="D16" s="16" t="str">
        <f aca="false">IF(C16&gt;=$B$8,"OK","下限割れ")</f>
        <v>OK</v>
      </c>
      <c r="E16" s="15" t="n">
        <f aca="false">A16*$B$12/$B$10</f>
        <v>0.04776</v>
      </c>
      <c r="F16" s="15" t="n">
        <f aca="false">$B$5-E16</f>
        <v>5.15224</v>
      </c>
      <c r="G16" s="16" t="str">
        <f aca="false">IF(F16&gt;=$B$8,"OK","下限割れ")</f>
        <v>OK</v>
      </c>
    </row>
    <row r="17" customFormat="false" ht="15" hidden="false" customHeight="true" outlineLevel="0" collapsed="false">
      <c r="A17" s="14" t="n">
        <v>1.5</v>
      </c>
      <c r="B17" s="15" t="n">
        <f aca="false">A17*$B$12/$B$9</f>
        <v>0.14328</v>
      </c>
      <c r="C17" s="15" t="n">
        <f aca="false">$B$5-B17</f>
        <v>5.05672</v>
      </c>
      <c r="D17" s="16" t="str">
        <f aca="false">IF(C17&gt;=$B$8,"OK","下限割れ")</f>
        <v>OK</v>
      </c>
      <c r="E17" s="15" t="n">
        <f aca="false">A17*$B$12/$B$10</f>
        <v>0.07164</v>
      </c>
      <c r="F17" s="15" t="n">
        <f aca="false">$B$5-E17</f>
        <v>5.12836</v>
      </c>
      <c r="G17" s="16" t="str">
        <f aca="false">IF(F17&gt;=$B$8,"OK","下限割れ")</f>
        <v>OK</v>
      </c>
    </row>
    <row r="18" customFormat="false" ht="15" hidden="false" customHeight="true" outlineLevel="0" collapsed="false">
      <c r="A18" s="14" t="n">
        <v>2</v>
      </c>
      <c r="B18" s="15" t="n">
        <f aca="false">A18*$B$12/$B$9</f>
        <v>0.19104</v>
      </c>
      <c r="C18" s="15" t="n">
        <f aca="false">$B$5-B18</f>
        <v>5.00896</v>
      </c>
      <c r="D18" s="16" t="str">
        <f aca="false">IF(C18&gt;=$B$8,"OK","下限割れ")</f>
        <v>OK</v>
      </c>
      <c r="E18" s="15" t="n">
        <f aca="false">A18*$B$12/$B$10</f>
        <v>0.09552</v>
      </c>
      <c r="F18" s="15" t="n">
        <f aca="false">$B$5-E18</f>
        <v>5.10448</v>
      </c>
      <c r="G18" s="16" t="str">
        <f aca="false">IF(F18&gt;=$B$8,"OK","下限割れ")</f>
        <v>OK</v>
      </c>
    </row>
    <row r="19" customFormat="false" ht="15" hidden="false" customHeight="true" outlineLevel="0" collapsed="false">
      <c r="A19" s="14" t="n">
        <v>2.5</v>
      </c>
      <c r="B19" s="15" t="n">
        <f aca="false">A19*$B$12/$B$9</f>
        <v>0.2388</v>
      </c>
      <c r="C19" s="15" t="n">
        <f aca="false">$B$5-B19</f>
        <v>4.9612</v>
      </c>
      <c r="D19" s="16" t="str">
        <f aca="false">IF(C19&gt;=$B$8,"OK","下限割れ")</f>
        <v>OK</v>
      </c>
      <c r="E19" s="15" t="n">
        <f aca="false">A19*$B$12/$B$10</f>
        <v>0.1194</v>
      </c>
      <c r="F19" s="15" t="n">
        <f aca="false">$B$5-E19</f>
        <v>5.0806</v>
      </c>
      <c r="G19" s="16" t="str">
        <f aca="false">IF(F19&gt;=$B$8,"OK","下限割れ")</f>
        <v>OK</v>
      </c>
    </row>
    <row r="20" customFormat="false" ht="15" hidden="false" customHeight="true" outlineLevel="0" collapsed="false">
      <c r="A20" s="14" t="n">
        <v>3</v>
      </c>
      <c r="B20" s="15" t="n">
        <f aca="false">A20*$B$12/$B$9</f>
        <v>0.28656</v>
      </c>
      <c r="C20" s="15" t="n">
        <f aca="false">$B$5-B20</f>
        <v>4.91344</v>
      </c>
      <c r="D20" s="16" t="str">
        <f aca="false">IF(C20&gt;=$B$8,"OK","下限割れ")</f>
        <v>OK</v>
      </c>
      <c r="E20" s="15" t="n">
        <f aca="false">A20*$B$12/$B$10</f>
        <v>0.14328</v>
      </c>
      <c r="F20" s="15" t="n">
        <f aca="false">$B$5-E20</f>
        <v>5.05672</v>
      </c>
      <c r="G20" s="16" t="str">
        <f aca="false">IF(F20&gt;=$B$8,"OK","下限割れ")</f>
        <v>OK</v>
      </c>
    </row>
    <row r="22" customFormat="false" ht="15" hidden="false" customHeight="true" outlineLevel="0" collapsed="false">
      <c r="A22" s="8" t="s">
        <v>52</v>
      </c>
    </row>
    <row r="23" customFormat="false" ht="15" hidden="false" customHeight="true" outlineLevel="0" collapsed="false">
      <c r="A23" s="8" t="s">
        <v>53</v>
      </c>
    </row>
    <row r="24" customFormat="false" ht="15" hidden="false" customHeight="true" outlineLevel="0" collapsed="false">
      <c r="A24" s="8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52"/>
    <col collapsed="false" customWidth="true" hidden="false" outlineLevel="0" max="3" min="3" style="1" width="58"/>
  </cols>
  <sheetData>
    <row r="1" customFormat="false" ht="17.25" hidden="false" customHeight="true" outlineLevel="0" collapsed="false">
      <c r="A1" s="17" t="s">
        <v>55</v>
      </c>
    </row>
    <row r="3" customFormat="false" ht="16.5" hidden="false" customHeight="true" outlineLevel="0" collapsed="false">
      <c r="A3" s="5" t="s">
        <v>3</v>
      </c>
      <c r="B3" s="5" t="s">
        <v>56</v>
      </c>
      <c r="C3" s="5" t="s">
        <v>57</v>
      </c>
    </row>
    <row r="4" customFormat="false" ht="15" hidden="false" customHeight="true" outlineLevel="0" collapsed="false">
      <c r="A4" s="7" t="s">
        <v>58</v>
      </c>
      <c r="B4" s="6" t="s">
        <v>59</v>
      </c>
      <c r="C4" s="6" t="s">
        <v>60</v>
      </c>
    </row>
    <row r="5" customFormat="false" ht="15" hidden="false" customHeight="true" outlineLevel="0" collapsed="false">
      <c r="A5" s="7" t="s">
        <v>61</v>
      </c>
      <c r="B5" s="6" t="s">
        <v>62</v>
      </c>
      <c r="C5" s="6" t="s">
        <v>63</v>
      </c>
    </row>
    <row r="6" customFormat="false" ht="15" hidden="false" customHeight="true" outlineLevel="0" collapsed="false">
      <c r="A6" s="7" t="s">
        <v>64</v>
      </c>
      <c r="B6" s="7" t="s">
        <v>65</v>
      </c>
      <c r="C6" s="7" t="s">
        <v>66</v>
      </c>
    </row>
    <row r="7" customFormat="false" ht="15" hidden="false" customHeight="true" outlineLevel="0" collapsed="false">
      <c r="A7" s="6" t="s">
        <v>67</v>
      </c>
      <c r="B7" s="7" t="s">
        <v>68</v>
      </c>
      <c r="C7" s="7" t="s">
        <v>69</v>
      </c>
    </row>
    <row r="8" customFormat="false" ht="29.25" hidden="false" customHeight="true" outlineLevel="0" collapsed="false">
      <c r="A8" s="7" t="s">
        <v>70</v>
      </c>
      <c r="B8" s="6" t="s">
        <v>71</v>
      </c>
      <c r="C8" s="6" t="s">
        <v>72</v>
      </c>
    </row>
    <row r="9" customFormat="false" ht="15" hidden="false" customHeight="true" outlineLevel="0" collapsed="false">
      <c r="A9" s="7" t="s">
        <v>73</v>
      </c>
      <c r="B9" s="6" t="s">
        <v>74</v>
      </c>
      <c r="C9" s="6" t="s">
        <v>75</v>
      </c>
    </row>
    <row r="10" customFormat="false" ht="29.25" hidden="false" customHeight="true" outlineLevel="0" collapsed="false">
      <c r="A10" s="7" t="s">
        <v>76</v>
      </c>
      <c r="B10" s="7" t="s">
        <v>77</v>
      </c>
      <c r="C10" s="7" t="s">
        <v>66</v>
      </c>
    </row>
    <row r="11" customFormat="false" ht="29.25" hidden="false" customHeight="true" outlineLevel="0" collapsed="false">
      <c r="A11" s="18" t="s">
        <v>78</v>
      </c>
      <c r="B11" s="7" t="s">
        <v>79</v>
      </c>
      <c r="C11" s="7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6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52"/>
  </cols>
  <sheetData>
    <row r="1" customFormat="false" ht="21" hidden="false" customHeight="true" outlineLevel="0" collapsed="false">
      <c r="A1" s="2" t="s">
        <v>81</v>
      </c>
    </row>
    <row r="2" customFormat="false" ht="15" hidden="false" customHeight="true" outlineLevel="0" collapsed="false">
      <c r="A2" s="8" t="s">
        <v>82</v>
      </c>
    </row>
    <row r="4" customFormat="false" ht="16.5" hidden="false" customHeight="true" outlineLevel="0" collapsed="false">
      <c r="A4" s="5" t="s">
        <v>83</v>
      </c>
      <c r="B4" s="5" t="s">
        <v>84</v>
      </c>
      <c r="C4" s="5" t="s">
        <v>85</v>
      </c>
      <c r="D4" s="5" t="s">
        <v>86</v>
      </c>
      <c r="E4" s="5" t="s">
        <v>87</v>
      </c>
    </row>
    <row r="5" customFormat="false" ht="15" hidden="false" customHeight="true" outlineLevel="0" collapsed="false">
      <c r="A5" s="19" t="n">
        <v>1</v>
      </c>
      <c r="B5" s="20" t="s">
        <v>88</v>
      </c>
      <c r="C5" s="20" t="s">
        <v>89</v>
      </c>
      <c r="D5" s="20" t="s">
        <v>90</v>
      </c>
      <c r="E5" s="19" t="s">
        <v>91</v>
      </c>
    </row>
    <row r="6" customFormat="false" ht="15" hidden="false" customHeight="true" outlineLevel="0" collapsed="false">
      <c r="A6" s="19" t="n">
        <v>1</v>
      </c>
      <c r="B6" s="20" t="s">
        <v>92</v>
      </c>
      <c r="C6" s="20" t="s">
        <v>93</v>
      </c>
      <c r="D6" s="20" t="s">
        <v>90</v>
      </c>
      <c r="E6" s="19" t="s">
        <v>91</v>
      </c>
    </row>
    <row r="7" customFormat="false" ht="15" hidden="false" customHeight="true" outlineLevel="0" collapsed="false">
      <c r="A7" s="19" t="n">
        <v>2</v>
      </c>
      <c r="B7" s="20" t="s">
        <v>88</v>
      </c>
      <c r="C7" s="20" t="s">
        <v>94</v>
      </c>
      <c r="D7" s="20" t="s">
        <v>90</v>
      </c>
      <c r="E7" s="19" t="s">
        <v>95</v>
      </c>
    </row>
    <row r="8" customFormat="false" ht="15" hidden="false" customHeight="true" outlineLevel="0" collapsed="false">
      <c r="A8" s="19" t="n">
        <v>2</v>
      </c>
      <c r="B8" s="20" t="s">
        <v>92</v>
      </c>
      <c r="C8" s="20" t="s">
        <v>96</v>
      </c>
      <c r="D8" s="20" t="s">
        <v>90</v>
      </c>
      <c r="E8" s="19" t="s">
        <v>95</v>
      </c>
    </row>
    <row r="9" customFormat="false" ht="15" hidden="false" customHeight="true" outlineLevel="0" collapsed="false">
      <c r="A9" s="21" t="n">
        <v>3</v>
      </c>
      <c r="B9" s="22" t="s">
        <v>88</v>
      </c>
      <c r="C9" s="22" t="s">
        <v>97</v>
      </c>
      <c r="D9" s="22" t="s">
        <v>97</v>
      </c>
      <c r="E9" s="21" t="s">
        <v>79</v>
      </c>
    </row>
    <row r="10" customFormat="false" ht="15" hidden="false" customHeight="true" outlineLevel="0" collapsed="false">
      <c r="A10" s="21" t="n">
        <v>3</v>
      </c>
      <c r="B10" s="22" t="s">
        <v>92</v>
      </c>
      <c r="C10" s="22" t="s">
        <v>97</v>
      </c>
      <c r="D10" s="22" t="s">
        <v>97</v>
      </c>
      <c r="E10" s="21" t="s">
        <v>79</v>
      </c>
    </row>
    <row r="11" customFormat="false" ht="15" hidden="false" customHeight="true" outlineLevel="0" collapsed="false">
      <c r="A11" s="23" t="n">
        <v>4</v>
      </c>
      <c r="B11" s="24" t="s">
        <v>88</v>
      </c>
      <c r="C11" s="23" t="s">
        <v>98</v>
      </c>
      <c r="D11" s="24" t="s">
        <v>99</v>
      </c>
      <c r="E11" s="23" t="s">
        <v>100</v>
      </c>
    </row>
    <row r="12" customFormat="false" ht="15" hidden="false" customHeight="true" outlineLevel="0" collapsed="false">
      <c r="A12" s="23" t="n">
        <v>4</v>
      </c>
      <c r="B12" s="24" t="s">
        <v>92</v>
      </c>
      <c r="C12" s="23" t="s">
        <v>101</v>
      </c>
      <c r="D12" s="24" t="s">
        <v>99</v>
      </c>
      <c r="E12" s="23" t="s">
        <v>100</v>
      </c>
    </row>
    <row r="13" customFormat="false" ht="15" hidden="false" customHeight="true" outlineLevel="0" collapsed="false">
      <c r="A13" s="23" t="n">
        <v>5</v>
      </c>
      <c r="B13" s="24" t="s">
        <v>88</v>
      </c>
      <c r="C13" s="23" t="s">
        <v>102</v>
      </c>
      <c r="D13" s="24" t="s">
        <v>99</v>
      </c>
      <c r="E13" s="23" t="s">
        <v>103</v>
      </c>
    </row>
    <row r="14" customFormat="false" ht="15" hidden="false" customHeight="true" outlineLevel="0" collapsed="false">
      <c r="A14" s="23" t="n">
        <v>5</v>
      </c>
      <c r="B14" s="24" t="s">
        <v>92</v>
      </c>
      <c r="C14" s="23" t="s">
        <v>104</v>
      </c>
      <c r="D14" s="24" t="s">
        <v>99</v>
      </c>
      <c r="E14" s="23" t="s">
        <v>105</v>
      </c>
    </row>
    <row r="15" customFormat="false" ht="15" hidden="false" customHeight="true" outlineLevel="0" collapsed="false">
      <c r="A15" s="25" t="n">
        <v>6</v>
      </c>
      <c r="B15" s="26" t="s">
        <v>88</v>
      </c>
      <c r="C15" s="25" t="s">
        <v>106</v>
      </c>
      <c r="D15" s="26" t="s">
        <v>107</v>
      </c>
      <c r="E15" s="25" t="s">
        <v>108</v>
      </c>
    </row>
    <row r="16" customFormat="false" ht="15" hidden="false" customHeight="true" outlineLevel="0" collapsed="false">
      <c r="A16" s="25" t="n">
        <v>6</v>
      </c>
      <c r="B16" s="26" t="s">
        <v>92</v>
      </c>
      <c r="C16" s="25" t="s">
        <v>109</v>
      </c>
      <c r="D16" s="26" t="s">
        <v>107</v>
      </c>
      <c r="E16" s="25" t="s">
        <v>108</v>
      </c>
    </row>
    <row r="17" customFormat="false" ht="15" hidden="false" customHeight="true" outlineLevel="0" collapsed="false">
      <c r="A17" s="27" t="n">
        <v>7</v>
      </c>
      <c r="B17" s="28" t="s">
        <v>88</v>
      </c>
      <c r="C17" s="27" t="s">
        <v>110</v>
      </c>
      <c r="D17" s="27" t="s">
        <v>111</v>
      </c>
      <c r="E17" s="27" t="s">
        <v>112</v>
      </c>
    </row>
    <row r="18" customFormat="false" ht="15" hidden="false" customHeight="true" outlineLevel="0" collapsed="false">
      <c r="A18" s="27" t="n">
        <v>7</v>
      </c>
      <c r="B18" s="28" t="s">
        <v>92</v>
      </c>
      <c r="C18" s="27" t="s">
        <v>113</v>
      </c>
      <c r="D18" s="27" t="s">
        <v>111</v>
      </c>
      <c r="E18" s="27" t="s">
        <v>114</v>
      </c>
    </row>
    <row r="19" customFormat="false" ht="15" hidden="false" customHeight="true" outlineLevel="0" collapsed="false">
      <c r="A19" s="23" t="n">
        <v>8</v>
      </c>
      <c r="B19" s="24" t="s">
        <v>88</v>
      </c>
      <c r="C19" s="24" t="s">
        <v>115</v>
      </c>
      <c r="D19" s="23" t="s">
        <v>116</v>
      </c>
      <c r="E19" s="24" t="s">
        <v>117</v>
      </c>
    </row>
    <row r="20" customFormat="false" ht="15" hidden="false" customHeight="true" outlineLevel="0" collapsed="false">
      <c r="A20" s="23" t="n">
        <v>8</v>
      </c>
      <c r="B20" s="24" t="s">
        <v>92</v>
      </c>
      <c r="C20" s="24" t="s">
        <v>118</v>
      </c>
      <c r="D20" s="23" t="s">
        <v>116</v>
      </c>
      <c r="E20" s="23" t="s">
        <v>119</v>
      </c>
    </row>
    <row r="21" customFormat="false" ht="15" hidden="false" customHeight="true" outlineLevel="0" collapsed="false">
      <c r="A21" s="29" t="n">
        <v>9</v>
      </c>
      <c r="B21" s="30" t="s">
        <v>88</v>
      </c>
      <c r="C21" s="29" t="s">
        <v>120</v>
      </c>
      <c r="D21" s="29" t="s">
        <v>121</v>
      </c>
      <c r="E21" s="29" t="s">
        <v>122</v>
      </c>
    </row>
    <row r="22" customFormat="false" ht="15" hidden="false" customHeight="true" outlineLevel="0" collapsed="false">
      <c r="A22" s="29" t="n">
        <v>9</v>
      </c>
      <c r="B22" s="30" t="s">
        <v>92</v>
      </c>
      <c r="C22" s="29" t="s">
        <v>123</v>
      </c>
      <c r="D22" s="29" t="s">
        <v>121</v>
      </c>
      <c r="E22" s="29" t="s">
        <v>124</v>
      </c>
    </row>
    <row r="23" customFormat="false" ht="15" hidden="false" customHeight="true" outlineLevel="0" collapsed="false">
      <c r="A23" s="29" t="n">
        <v>10</v>
      </c>
      <c r="B23" s="30" t="s">
        <v>88</v>
      </c>
      <c r="C23" s="29" t="s">
        <v>125</v>
      </c>
      <c r="D23" s="29" t="s">
        <v>121</v>
      </c>
      <c r="E23" s="29" t="s">
        <v>126</v>
      </c>
    </row>
    <row r="24" customFormat="false" ht="15" hidden="false" customHeight="true" outlineLevel="0" collapsed="false">
      <c r="A24" s="29" t="n">
        <v>10</v>
      </c>
      <c r="B24" s="30" t="s">
        <v>92</v>
      </c>
      <c r="C24" s="29" t="s">
        <v>127</v>
      </c>
      <c r="D24" s="29" t="s">
        <v>121</v>
      </c>
      <c r="E24" s="29" t="s">
        <v>128</v>
      </c>
    </row>
    <row r="26" customFormat="false" ht="15" hidden="false" customHeight="true" outlineLevel="0" collapsed="false">
      <c r="A26" s="8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2026-10-09T07:31:19Z</dcterms:created>
  <dc:creator>openpyxl</dc:creator>
  <dc:description/>
  <dc:language>en-US</dc:language>
  <cp:lastModifiedBy/>
  <dcterms:modified xsi:type="dcterms:W3CDTF">2026-10-21T03:26:39Z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