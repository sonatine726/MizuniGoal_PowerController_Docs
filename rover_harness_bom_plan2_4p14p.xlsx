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ピン配置図" sheetId="2" state="visible" r:id="rId4"/>
    <sheet name="購入リスト" sheetId="3" state="visible" r:id="rId5"/>
    <sheet name="ピン配置" sheetId="4" state="visible" r:id="rId6"/>
    <sheet name="条件"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<sst xmlns="http://schemas.openxmlformats.org/spreadsheetml/2006/main" count="476" uniqueCount="278">
  <si>
    <t xml:space="preserve">案2：4極ハーネス（モーター用）＋14極ハーネス（信号用）の2本構成【採用】</t>
  </si>
  <si>
    <t xml:space="preserve">採用案。このファイルを正式な購入リストとする。ハーネスは1本に束ねず、モーター用と信号用の2本に分ける</t>
  </si>
  <si>
    <t xml:space="preserve">コネクタ</t>
  </si>
  <si>
    <r>
      <rPr>
        <sz val="10"/>
        <rFont val="Arial"/>
        <family val="0"/>
        <charset val="1"/>
      </rPr>
      <t xml:space="preserve">Mini-Fit Jr. 4</t>
    </r>
    <r>
      <rPr>
        <sz val="10"/>
        <rFont val="Noto Sans CJK SC"/>
        <family val="2"/>
      </rPr>
      <t xml:space="preserve">極（</t>
    </r>
    <r>
      <rPr>
        <sz val="10"/>
        <rFont val="Arial"/>
        <family val="0"/>
        <charset val="1"/>
      </rPr>
      <t xml:space="preserve">2×2</t>
    </r>
    <r>
      <rPr>
        <sz val="10"/>
        <rFont val="Noto Sans CJK SC"/>
        <family val="2"/>
      </rPr>
      <t xml:space="preserve">）と</t>
    </r>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）。各中継位置（③</t>
    </r>
    <r>
      <rPr>
        <sz val="10"/>
        <rFont val="Arial"/>
        <family val="0"/>
        <charset val="1"/>
      </rPr>
      <t xml:space="preserve">-②</t>
    </r>
    <r>
      <rPr>
        <sz val="10"/>
        <rFont val="Noto Sans CJK SC"/>
        <family val="2"/>
      </rPr>
      <t xml:space="preserve">間、②</t>
    </r>
    <r>
      <rPr>
        <sz val="10"/>
        <rFont val="Arial"/>
        <family val="0"/>
        <charset val="1"/>
      </rPr>
      <t xml:space="preserve">-①</t>
    </r>
    <r>
      <rPr>
        <sz val="10"/>
        <rFont val="Noto Sans CJK SC"/>
        <family val="2"/>
      </rPr>
      <t xml:space="preserve">間）に、</t>
    </r>
    <r>
      <rPr>
        <sz val="10"/>
        <rFont val="Arial"/>
        <family val="0"/>
        <charset val="1"/>
      </rPr>
      <t xml:space="preserve">4</t>
    </r>
    <r>
      <rPr>
        <sz val="10"/>
        <rFont val="Noto Sans CJK SC"/>
        <family val="2"/>
      </rPr>
      <t xml:space="preserve">極ハーネス用と</t>
    </r>
    <r>
      <rPr>
        <sz val="10"/>
        <rFont val="Arial"/>
        <family val="0"/>
        <charset val="1"/>
      </rPr>
      <t xml:space="preserve">14</t>
    </r>
    <r>
      <rPr>
        <sz val="10"/>
        <rFont val="Noto Sans CJK SC"/>
        <family val="2"/>
      </rPr>
      <t xml:space="preserve">極ハーネス用のコネクタをそれぞれ設ける</t>
    </r>
  </si>
  <si>
    <t xml:space="preserve">ハーネス構成</t>
  </si>
  <si>
    <r>
      <rPr>
        <sz val="10"/>
        <rFont val="Arial"/>
        <family val="0"/>
        <charset val="1"/>
      </rPr>
      <t xml:space="preserve">4</t>
    </r>
    <r>
      <rPr>
        <sz val="10"/>
        <rFont val="Noto Sans CJK SC"/>
        <family val="2"/>
      </rPr>
      <t xml:space="preserve">極ハーネス：</t>
    </r>
    <r>
      <rPr>
        <sz val="10"/>
        <rFont val="Arial"/>
        <family val="0"/>
        <charset val="1"/>
      </rPr>
      <t xml:space="preserve">AV1.25 </t>
    </r>
    <r>
      <rPr>
        <sz val="10"/>
        <rFont val="Noto Sans CJK SC"/>
        <family val="2"/>
      </rPr>
      <t xml:space="preserve">赤＋／黒−のツイストペア</t>
    </r>
    <r>
      <rPr>
        <sz val="10"/>
        <rFont val="Arial"/>
        <family val="0"/>
        <charset val="1"/>
      </rPr>
      <t xml:space="preserve">2</t>
    </r>
    <r>
      <rPr>
        <sz val="10"/>
        <rFont val="Noto Sans CJK SC"/>
        <family val="2"/>
      </rPr>
      <t xml:space="preserve">組（左右モーター）／</t>
    </r>
    <r>
      <rPr>
        <sz val="10"/>
        <rFont val="Arial"/>
        <family val="0"/>
        <charset val="1"/>
      </rPr>
      <t xml:space="preserve">14</t>
    </r>
    <r>
      <rPr>
        <sz val="10"/>
        <rFont val="Noto Sans CJK SC"/>
        <family val="2"/>
      </rPr>
      <t xml:space="preserve">極ハーネス：</t>
    </r>
    <r>
      <rPr>
        <sz val="10"/>
        <rFont val="Arial"/>
        <family val="0"/>
        <charset val="1"/>
      </rPr>
      <t xml:space="preserve">SX(NE) 0.5sq×7P 1</t>
    </r>
    <r>
      <rPr>
        <sz val="10"/>
        <rFont val="Noto Sans CJK SC"/>
        <family val="2"/>
      </rPr>
      <t xml:space="preserve">本（</t>
    </r>
    <r>
      <rPr>
        <sz val="10"/>
        <rFont val="Arial"/>
        <family val="0"/>
        <charset val="1"/>
      </rPr>
      <t xml:space="preserve">RC</t>
    </r>
    <r>
      <rPr>
        <sz val="10"/>
        <rFont val="Noto Sans CJK SC"/>
        <family val="2"/>
      </rPr>
      <t xml:space="preserve">・</t>
    </r>
    <r>
      <rPr>
        <sz val="10"/>
        <rFont val="Arial"/>
        <family val="0"/>
        <charset val="1"/>
      </rPr>
      <t xml:space="preserve">5V</t>
    </r>
    <r>
      <rPr>
        <sz val="10"/>
        <rFont val="Noto Sans CJK SC"/>
        <family val="2"/>
      </rPr>
      <t xml:space="preserve">・</t>
    </r>
    <r>
      <rPr>
        <sz val="10"/>
        <rFont val="Arial"/>
        <family val="0"/>
        <charset val="1"/>
      </rPr>
      <t xml:space="preserve">CURR/VOLT</t>
    </r>
    <r>
      <rPr>
        <sz val="10"/>
        <rFont val="Noto Sans CJK SC"/>
        <family val="2"/>
      </rPr>
      <t xml:space="preserve">・非常停止</t>
    </r>
    <r>
      <rPr>
        <sz val="10"/>
        <rFont val="Arial"/>
        <family val="0"/>
        <charset val="1"/>
      </rPr>
      <t xml:space="preserve">SW</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2</t>
    </r>
    <r>
      <rPr>
        <sz val="10"/>
        <rFont val="Noto Sans CJK SC"/>
        <family val="2"/>
      </rPr>
      <t xml:space="preserve">本は数</t>
    </r>
    <r>
      <rPr>
        <sz val="10"/>
        <rFont val="Arial"/>
        <family val="0"/>
        <charset val="1"/>
      </rPr>
      <t xml:space="preserve">cm</t>
    </r>
    <r>
      <rPr>
        <sz val="10"/>
        <rFont val="Noto Sans CJK SC"/>
        <family val="2"/>
      </rPr>
      <t xml:space="preserve">離して配線し、交差は直角に</t>
    </r>
  </si>
  <si>
    <t xml:space="preserve">ハウジング（モノタロウ、税込、10個入り）</t>
  </si>
  <si>
    <r>
      <rPr>
        <sz val="10"/>
        <rFont val="Arial"/>
        <family val="0"/>
        <charset val="1"/>
      </rPr>
      <t xml:space="preserve">5557-04R</t>
    </r>
    <r>
      <rPr>
        <sz val="10"/>
        <rFont val="Noto Sans CJK SC"/>
        <family val="2"/>
      </rPr>
      <t xml:space="preserve">（</t>
    </r>
    <r>
      <rPr>
        <sz val="10"/>
        <rFont val="Arial"/>
        <family val="0"/>
        <charset val="1"/>
      </rPr>
      <t xml:space="preserve">08561481</t>
    </r>
    <r>
      <rPr>
        <sz val="10"/>
        <rFont val="Noto Sans CJK SC"/>
        <family val="2"/>
      </rPr>
      <t xml:space="preserve">）</t>
    </r>
    <r>
      <rPr>
        <sz val="10"/>
        <rFont val="Arial"/>
        <family val="0"/>
        <charset val="1"/>
      </rPr>
      <t xml:space="preserve">307</t>
    </r>
    <r>
      <rPr>
        <sz val="10"/>
        <rFont val="Noto Sans CJK SC"/>
        <family val="2"/>
      </rPr>
      <t xml:space="preserve">円＋</t>
    </r>
    <r>
      <rPr>
        <sz val="10"/>
        <rFont val="Arial"/>
        <family val="0"/>
        <charset val="1"/>
      </rPr>
      <t xml:space="preserve">5557-14R</t>
    </r>
    <r>
      <rPr>
        <sz val="10"/>
        <rFont val="Noto Sans CJK SC"/>
        <family val="2"/>
      </rPr>
      <t xml:space="preserve">（</t>
    </r>
    <r>
      <rPr>
        <sz val="10"/>
        <rFont val="Arial"/>
        <family val="0"/>
        <charset val="1"/>
      </rPr>
      <t xml:space="preserve">08561533</t>
    </r>
    <r>
      <rPr>
        <sz val="10"/>
        <rFont val="Noto Sans CJK SC"/>
        <family val="2"/>
      </rPr>
      <t xml:space="preserve">）</t>
    </r>
    <r>
      <rPr>
        <sz val="10"/>
        <rFont val="Arial"/>
        <family val="0"/>
        <charset val="1"/>
      </rPr>
      <t xml:space="preserve">659</t>
    </r>
    <r>
      <rPr>
        <sz val="10"/>
        <rFont val="Noto Sans CJK SC"/>
        <family val="2"/>
      </rPr>
      <t xml:space="preserve">円＋</t>
    </r>
    <r>
      <rPr>
        <sz val="10"/>
        <rFont val="Arial"/>
        <family val="0"/>
        <charset val="1"/>
      </rPr>
      <t xml:space="preserve">5559-04P</t>
    </r>
    <r>
      <rPr>
        <sz val="10"/>
        <rFont val="Noto Sans CJK SC"/>
        <family val="2"/>
      </rPr>
      <t xml:space="preserve">（</t>
    </r>
    <r>
      <rPr>
        <sz val="10"/>
        <rFont val="Arial"/>
        <family val="0"/>
        <charset val="1"/>
      </rPr>
      <t xml:space="preserve">08561296</t>
    </r>
    <r>
      <rPr>
        <sz val="10"/>
        <rFont val="Noto Sans CJK SC"/>
        <family val="2"/>
      </rPr>
      <t xml:space="preserve">）</t>
    </r>
    <r>
      <rPr>
        <sz val="10"/>
        <rFont val="Arial"/>
        <family val="0"/>
        <charset val="1"/>
      </rPr>
      <t xml:space="preserve">395</t>
    </r>
    <r>
      <rPr>
        <sz val="10"/>
        <rFont val="Noto Sans CJK SC"/>
        <family val="2"/>
      </rPr>
      <t xml:space="preserve">円＋</t>
    </r>
    <r>
      <rPr>
        <sz val="10"/>
        <rFont val="Arial"/>
        <family val="0"/>
        <charset val="1"/>
      </rPr>
      <t xml:space="preserve">5559-14P</t>
    </r>
    <r>
      <rPr>
        <sz val="10"/>
        <rFont val="Noto Sans CJK SC"/>
        <family val="2"/>
      </rPr>
      <t xml:space="preserve">（</t>
    </r>
    <r>
      <rPr>
        <sz val="10"/>
        <rFont val="Arial"/>
        <family val="0"/>
        <charset val="1"/>
      </rPr>
      <t xml:space="preserve">08561341</t>
    </r>
    <r>
      <rPr>
        <sz val="10"/>
        <rFont val="Noto Sans CJK SC"/>
        <family val="2"/>
      </rPr>
      <t xml:space="preserve">）</t>
    </r>
    <r>
      <rPr>
        <sz val="10"/>
        <rFont val="Arial"/>
        <family val="0"/>
        <charset val="1"/>
      </rPr>
      <t xml:space="preserve">736</t>
    </r>
    <r>
      <rPr>
        <sz val="10"/>
        <rFont val="Noto Sans CJK SC"/>
        <family val="2"/>
      </rPr>
      <t xml:space="preserve">円</t>
    </r>
  </si>
  <si>
    <t xml:space="preserve">ハウジング費用合計</t>
  </si>
  <si>
    <r>
      <rPr>
        <sz val="10"/>
        <rFont val="Arial"/>
        <family val="0"/>
        <charset val="1"/>
      </rPr>
      <t xml:space="preserve">2,097</t>
    </r>
    <r>
      <rPr>
        <sz val="10"/>
        <rFont val="Noto Sans CJK SC"/>
        <family val="2"/>
      </rPr>
      <t xml:space="preserve">円（案</t>
    </r>
    <r>
      <rPr>
        <sz val="10"/>
        <rFont val="Arial"/>
        <family val="0"/>
        <charset val="1"/>
      </rPr>
      <t xml:space="preserve">1</t>
    </r>
    <r>
      <rPr>
        <sz val="10"/>
        <rFont val="Noto Sans CJK SC"/>
        <family val="2"/>
      </rPr>
      <t xml:space="preserve">より約</t>
    </r>
    <r>
      <rPr>
        <sz val="10"/>
        <rFont val="Arial"/>
        <family val="0"/>
        <charset val="1"/>
      </rPr>
      <t xml:space="preserve">2,600</t>
    </r>
    <r>
      <rPr>
        <sz val="10"/>
        <rFont val="Noto Sans CJK SC"/>
        <family val="2"/>
      </rPr>
      <t xml:space="preserve">円安い）</t>
    </r>
  </si>
  <si>
    <t xml:space="preserve">出荷</t>
  </si>
  <si>
    <t xml:space="preserve">すべて当日出荷の表示</t>
  </si>
  <si>
    <t xml:space="preserve">ピン構成</t>
  </si>
  <si>
    <r>
      <rPr>
        <sz val="10"/>
        <rFont val="Arial"/>
        <family val="0"/>
        <charset val="1"/>
      </rPr>
      <t xml:space="preserve">4</t>
    </r>
    <r>
      <rPr>
        <sz val="10"/>
        <rFont val="Noto Sans CJK SC"/>
        <family val="2"/>
      </rPr>
      <t xml:space="preserve">極：モーター</t>
    </r>
    <r>
      <rPr>
        <sz val="10"/>
        <rFont val="Arial"/>
        <family val="0"/>
        <charset val="1"/>
      </rPr>
      <t xml:space="preserve">4</t>
    </r>
    <r>
      <rPr>
        <sz val="10"/>
        <rFont val="Noto Sans CJK SC"/>
        <family val="2"/>
      </rPr>
      <t xml:space="preserve">本／</t>
    </r>
    <r>
      <rPr>
        <sz val="10"/>
        <rFont val="Arial"/>
        <family val="0"/>
        <charset val="1"/>
      </rPr>
      <t xml:space="preserve">14</t>
    </r>
    <r>
      <rPr>
        <sz val="10"/>
        <rFont val="Noto Sans CJK SC"/>
        <family val="2"/>
      </rPr>
      <t xml:space="preserve">極：信号・電源</t>
    </r>
    <r>
      <rPr>
        <sz val="10"/>
        <rFont val="Arial"/>
        <family val="0"/>
        <charset val="1"/>
      </rPr>
      <t xml:space="preserve">14</t>
    </r>
    <r>
      <rPr>
        <sz val="10"/>
        <rFont val="Noto Sans CJK SC"/>
        <family val="2"/>
      </rPr>
      <t xml:space="preserve">本（空きなし）</t>
    </r>
  </si>
  <si>
    <t xml:space="preserve">長所</t>
  </si>
  <si>
    <t xml:space="preserve">安価で納期が短い。モーター電力と信号がハーネスごと分離され、モーター線から信号線へのノイズ結合がさらに小さい（2本を数cm離せる）。浸水・ピン曲がり時の回り込みリスクも低い。4極だけ抜けばモーターだけを切り離せる（机上テストで安全）</t>
  </si>
  <si>
    <t xml:space="preserve">短所・注意</t>
  </si>
  <si>
    <t xml:space="preserve">挿す箇所が2か所で挿し忘れの可能性（両端に「MOTOR」「SIGNAL」のラベルで対策）。ハーネスが2本になり、外装・クリップ・固定箇所が増える。パネル取付耳の有無は図面で確認</t>
  </si>
  <si>
    <t xml:space="preserve">共通：端子</t>
  </si>
  <si>
    <r>
      <rPr>
        <sz val="10"/>
        <rFont val="Arial"/>
        <family val="0"/>
        <charset val="1"/>
      </rPr>
      <t xml:space="preserve">5556T3L</t>
    </r>
    <r>
      <rPr>
        <sz val="10"/>
        <rFont val="Noto Sans CJK SC"/>
        <family val="2"/>
      </rPr>
      <t xml:space="preserve">／</t>
    </r>
    <r>
      <rPr>
        <sz val="10"/>
        <rFont val="Arial"/>
        <family val="0"/>
        <charset val="1"/>
      </rPr>
      <t xml:space="preserve">5558T3L</t>
    </r>
    <r>
      <rPr>
        <sz val="10"/>
        <rFont val="Noto Sans CJK SC"/>
        <family val="2"/>
      </rPr>
      <t xml:space="preserve">（</t>
    </r>
    <r>
      <rPr>
        <sz val="10"/>
        <rFont val="Arial"/>
        <family val="0"/>
        <charset val="1"/>
      </rPr>
      <t xml:space="preserve">AWG16</t>
    </r>
    <r>
      <rPr>
        <sz val="10"/>
        <rFont val="Noto Sans CJK SC"/>
        <family val="2"/>
      </rPr>
      <t xml:space="preserve">、モーター線）、</t>
    </r>
    <r>
      <rPr>
        <sz val="10"/>
        <rFont val="Arial"/>
        <family val="0"/>
        <charset val="1"/>
      </rPr>
      <t xml:space="preserve">5556TL</t>
    </r>
    <r>
      <rPr>
        <sz val="10"/>
        <rFont val="Noto Sans CJK SC"/>
        <family val="2"/>
      </rPr>
      <t xml:space="preserve">／</t>
    </r>
    <r>
      <rPr>
        <sz val="10"/>
        <rFont val="Arial"/>
        <family val="0"/>
        <charset val="1"/>
      </rPr>
      <t xml:space="preserve">5558TL</t>
    </r>
    <r>
      <rPr>
        <sz val="10"/>
        <rFont val="Noto Sans CJK SC"/>
        <family val="2"/>
      </rPr>
      <t xml:space="preserve">（</t>
    </r>
    <r>
      <rPr>
        <sz val="10"/>
        <rFont val="Arial"/>
        <family val="0"/>
        <charset val="1"/>
      </rPr>
      <t xml:space="preserve">AWG18</t>
    </r>
    <r>
      <rPr>
        <sz val="10"/>
        <rFont val="Noto Sans CJK SC"/>
        <family val="2"/>
      </rPr>
      <t xml:space="preserve">〜</t>
    </r>
    <r>
      <rPr>
        <sz val="10"/>
        <rFont val="Arial"/>
        <family val="0"/>
        <charset val="1"/>
      </rPr>
      <t xml:space="preserve">24</t>
    </r>
    <r>
      <rPr>
        <sz val="10"/>
        <rFont val="Noto Sans CJK SC"/>
        <family val="2"/>
      </rPr>
      <t xml:space="preserve">、信号）。すずめっき、各</t>
    </r>
    <r>
      <rPr>
        <sz val="10"/>
        <rFont val="Arial"/>
        <family val="0"/>
        <charset val="1"/>
      </rPr>
      <t xml:space="preserve">100</t>
    </r>
    <r>
      <rPr>
        <sz val="10"/>
        <rFont val="Noto Sans CJK SC"/>
        <family val="2"/>
      </rPr>
      <t xml:space="preserve">個入り</t>
    </r>
    <r>
      <rPr>
        <sz val="10"/>
        <rFont val="Arial"/>
        <family val="0"/>
        <charset val="1"/>
      </rPr>
      <t xml:space="preserve">1</t>
    </r>
    <r>
      <rPr>
        <sz val="10"/>
        <rFont val="Noto Sans CJK SC"/>
        <family val="2"/>
      </rPr>
      <t xml:space="preserve">パック</t>
    </r>
  </si>
  <si>
    <t xml:space="preserve">共通：ケーブル</t>
  </si>
  <si>
    <t xml:space="preserve">モーター：エーモンAV1.25 赤・黒（自作ツイスト）／信号：SX(NE) 0.5sq×7P（ペア1〜7）</t>
  </si>
  <si>
    <t xml:space="preserve">共通：性別</t>
  </si>
  <si>
    <t xml:space="preserve">③後部ユニット＝メス(5557)、②ハーネス後部側＝オス(5559)、②ハーネス前部側＝メス(5557)、①前部ユニット＝オス(5559)</t>
  </si>
  <si>
    <t xml:space="preserve">ハーネス部品 購入リスト（Molex Mini-Fit Jr. 4極ハーネス＋14極ハーネス 2本構成・採用版）</t>
  </si>
  <si>
    <t xml:space="preserve">「必要数」「購入数」は式で計算されます。「確認」「購入」列はプルダウンで選択、「実際に購入した品番」は手入力してください。</t>
  </si>
  <si>
    <t xml:space="preserve">No</t>
  </si>
  <si>
    <t xml:space="preserve">区分</t>
  </si>
  <si>
    <t xml:space="preserve">部品名</t>
  </si>
  <si>
    <t xml:space="preserve">メーカー</t>
  </si>
  <si>
    <t xml:space="preserve">品番（例）</t>
  </si>
  <si>
    <t xml:space="preserve">仕様</t>
  </si>
  <si>
    <t xml:space="preserve">必要数</t>
  </si>
  <si>
    <t xml:space="preserve">購入数</t>
  </si>
  <si>
    <t xml:space="preserve">単位</t>
  </si>
  <si>
    <t xml:space="preserve">確認ポイント</t>
  </si>
  <si>
    <t xml:space="preserve">確認</t>
  </si>
  <si>
    <t xml:space="preserve">購入</t>
  </si>
  <si>
    <t xml:space="preserve">実際に購入した品番・備考</t>
  </si>
  <si>
    <t xml:space="preserve">1-1</t>
  </si>
  <si>
    <t xml:space="preserve">メス側ハウジング 4極（レセプタクル）</t>
  </si>
  <si>
    <t xml:space="preserve">日本モレックス</t>
  </si>
  <si>
    <r>
      <rPr>
        <sz val="10"/>
        <rFont val="Arial"/>
        <family val="0"/>
        <charset val="1"/>
      </rPr>
      <t xml:space="preserve">5557-04R</t>
    </r>
    <r>
      <rPr>
        <sz val="10"/>
        <rFont val="Noto Sans CJK SC"/>
        <family val="2"/>
      </rPr>
      <t xml:space="preserve">（モノタロウ </t>
    </r>
    <r>
      <rPr>
        <sz val="10"/>
        <rFont val="Arial"/>
        <family val="0"/>
        <charset val="1"/>
      </rPr>
      <t xml:space="preserve">08561481</t>
    </r>
    <r>
      <rPr>
        <sz val="10"/>
        <rFont val="Noto Sans CJK SC"/>
        <family val="2"/>
      </rPr>
      <t xml:space="preserve">）</t>
    </r>
  </si>
  <si>
    <r>
      <rPr>
        <sz val="10"/>
        <rFont val="Arial"/>
        <family val="0"/>
        <charset val="1"/>
      </rPr>
      <t xml:space="preserve">4</t>
    </r>
    <r>
      <rPr>
        <sz val="10"/>
        <rFont val="Noto Sans CJK SC"/>
        <family val="2"/>
      </rPr>
      <t xml:space="preserve">極、</t>
    </r>
    <r>
      <rPr>
        <sz val="10"/>
        <rFont val="Arial"/>
        <family val="0"/>
        <charset val="1"/>
      </rPr>
      <t xml:space="preserve">2×2</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307</t>
    </r>
    <r>
      <rPr>
        <sz val="10"/>
        <rFont val="Noto Sans CJK SC"/>
        <family val="2"/>
      </rPr>
      <t xml:space="preserve">円</t>
    </r>
  </si>
  <si>
    <t xml:space="preserve">パック</t>
  </si>
  <si>
    <t xml:space="preserve">モーター電力用。③後部ユニットと②ハーネスの前部側</t>
  </si>
  <si>
    <t xml:space="preserve">未確認</t>
  </si>
  <si>
    <t xml:space="preserve">未購入</t>
  </si>
  <si>
    <t xml:space="preserve">必要数は個数、購入数はパック数（1パック10個）</t>
  </si>
  <si>
    <t xml:space="preserve">1-2</t>
  </si>
  <si>
    <t xml:space="preserve">メス側ハウジング 14極（レセプタクル）</t>
  </si>
  <si>
    <r>
      <rPr>
        <sz val="10"/>
        <rFont val="Arial"/>
        <family val="0"/>
        <charset val="1"/>
      </rPr>
      <t xml:space="preserve">5557-14R</t>
    </r>
    <r>
      <rPr>
        <sz val="10"/>
        <rFont val="Noto Sans CJK SC"/>
        <family val="2"/>
      </rPr>
      <t xml:space="preserve">（モノタロウ </t>
    </r>
    <r>
      <rPr>
        <sz val="10"/>
        <rFont val="Arial"/>
        <family val="0"/>
        <charset val="1"/>
      </rPr>
      <t xml:space="preserve">08561533</t>
    </r>
    <r>
      <rPr>
        <sz val="10"/>
        <rFont val="Noto Sans CJK SC"/>
        <family val="2"/>
      </rPr>
      <t xml:space="preserve">）</t>
    </r>
  </si>
  <si>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659</t>
    </r>
    <r>
      <rPr>
        <sz val="10"/>
        <rFont val="Noto Sans CJK SC"/>
        <family val="2"/>
      </rPr>
      <t xml:space="preserve">円</t>
    </r>
  </si>
  <si>
    <t xml:space="preserve">信号・電源用。③後部ユニットと②ハーネスの前部側</t>
  </si>
  <si>
    <t xml:space="preserve">2-1</t>
  </si>
  <si>
    <t xml:space="preserve">オス側ハウジング 4極（プラグ）</t>
  </si>
  <si>
    <r>
      <rPr>
        <sz val="10"/>
        <rFont val="Arial"/>
        <family val="0"/>
        <charset val="1"/>
      </rPr>
      <t xml:space="preserve">5559-04P</t>
    </r>
    <r>
      <rPr>
        <sz val="10"/>
        <rFont val="Noto Sans CJK SC"/>
        <family val="2"/>
      </rPr>
      <t xml:space="preserve">（モノタロウ </t>
    </r>
    <r>
      <rPr>
        <sz val="10"/>
        <rFont val="Arial"/>
        <family val="0"/>
        <charset val="1"/>
      </rPr>
      <t xml:space="preserve">08561296</t>
    </r>
    <r>
      <rPr>
        <sz val="10"/>
        <rFont val="Noto Sans CJK SC"/>
        <family val="2"/>
      </rPr>
      <t xml:space="preserve">）</t>
    </r>
  </si>
  <si>
    <r>
      <rPr>
        <sz val="10"/>
        <rFont val="Arial"/>
        <family val="0"/>
        <charset val="1"/>
      </rPr>
      <t xml:space="preserve">4</t>
    </r>
    <r>
      <rPr>
        <sz val="10"/>
        <rFont val="Noto Sans CJK SC"/>
        <family val="2"/>
      </rPr>
      <t xml:space="preserve">極、</t>
    </r>
    <r>
      <rPr>
        <sz val="10"/>
        <rFont val="Arial"/>
        <family val="0"/>
        <charset val="1"/>
      </rPr>
      <t xml:space="preserve">2×2</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395</t>
    </r>
    <r>
      <rPr>
        <sz val="10"/>
        <rFont val="Noto Sans CJK SC"/>
        <family val="2"/>
      </rPr>
      <t xml:space="preserve">円</t>
    </r>
  </si>
  <si>
    <t xml:space="preserve">モーター電力用。②ハーネスの後部側と①前部ユニット。パネル取付耳の有無を図面で確認</t>
  </si>
  <si>
    <t xml:space="preserve">2-2</t>
  </si>
  <si>
    <t xml:space="preserve">オス側ハウジング 14極（プラグ）</t>
  </si>
  <si>
    <r>
      <rPr>
        <sz val="10"/>
        <rFont val="Arial"/>
        <family val="0"/>
        <charset val="1"/>
      </rPr>
      <t xml:space="preserve">5559-14P</t>
    </r>
    <r>
      <rPr>
        <sz val="10"/>
        <rFont val="Noto Sans CJK SC"/>
        <family val="2"/>
      </rPr>
      <t xml:space="preserve">（モノタロウ </t>
    </r>
    <r>
      <rPr>
        <sz val="10"/>
        <rFont val="Arial"/>
        <family val="0"/>
        <charset val="1"/>
      </rPr>
      <t xml:space="preserve">08561341</t>
    </r>
    <r>
      <rPr>
        <sz val="10"/>
        <rFont val="Noto Sans CJK SC"/>
        <family val="2"/>
      </rPr>
      <t xml:space="preserve">）</t>
    </r>
  </si>
  <si>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736</t>
    </r>
    <r>
      <rPr>
        <sz val="10"/>
        <rFont val="Noto Sans CJK SC"/>
        <family val="2"/>
      </rPr>
      <t xml:space="preserve">円</t>
    </r>
  </si>
  <si>
    <t xml:space="preserve">信号・電源用。②ハーネスの後部側と①前部ユニット。パネル取付耳の有無を図面で確認</t>
  </si>
  <si>
    <t xml:space="preserve">端子</t>
  </si>
  <si>
    <t xml:space="preserve">メス端子 AWG16用</t>
  </si>
  <si>
    <r>
      <rPr>
        <sz val="10"/>
        <rFont val="Arial"/>
        <family val="0"/>
        <charset val="1"/>
      </rPr>
      <t xml:space="preserve">5556T3L</t>
    </r>
    <r>
      <rPr>
        <sz val="10"/>
        <rFont val="Noto Sans CJK SC"/>
        <family val="2"/>
      </rPr>
      <t xml:space="preserve">（モノタロウ </t>
    </r>
    <r>
      <rPr>
        <sz val="10"/>
        <rFont val="Arial"/>
        <family val="0"/>
        <charset val="1"/>
      </rPr>
      <t xml:space="preserve">75939272</t>
    </r>
    <r>
      <rPr>
        <sz val="10"/>
        <rFont val="Noto Sans CJK SC"/>
        <family val="2"/>
      </rPr>
      <t xml:space="preserve">）</t>
    </r>
  </si>
  <si>
    <t xml:space="preserve">メス端子 AWG16用、すずめっき2.5µm、バラ品、100個入り</t>
  </si>
  <si>
    <t xml:space="preserve">すずめっきで統一。モーター線用</t>
  </si>
  <si>
    <t xml:space="preserve">必要数は個数、購入数はパック数（1パック100個）</t>
  </si>
  <si>
    <t xml:space="preserve">メス端子 AWG18〜24用</t>
  </si>
  <si>
    <r>
      <rPr>
        <sz val="10"/>
        <rFont val="Arial"/>
        <family val="0"/>
        <charset val="1"/>
      </rPr>
      <t xml:space="preserve">5556TL</t>
    </r>
    <r>
      <rPr>
        <sz val="10"/>
        <rFont val="Noto Sans CJK SC"/>
        <family val="2"/>
      </rPr>
      <t xml:space="preserve">（モノタロウ </t>
    </r>
    <r>
      <rPr>
        <sz val="10"/>
        <rFont val="Arial"/>
        <family val="0"/>
        <charset val="1"/>
      </rPr>
      <t xml:space="preserve">08561682</t>
    </r>
    <r>
      <rPr>
        <sz val="10"/>
        <rFont val="Noto Sans CJK SC"/>
        <family val="2"/>
      </rPr>
      <t xml:space="preserve">）</t>
    </r>
  </si>
  <si>
    <t xml:space="preserve">メス端子 AWG18〜24用、すずめっき2.5µm、バラ品、100個入り</t>
  </si>
  <si>
    <t xml:space="preserve">すずめっきで統一。SX(NE)芯線・ドレインの被覆外径が適合範囲内か確認</t>
  </si>
  <si>
    <t xml:space="preserve">オス端子 AWG16用</t>
  </si>
  <si>
    <r>
      <rPr>
        <sz val="10"/>
        <rFont val="Arial"/>
        <family val="0"/>
        <charset val="1"/>
      </rPr>
      <t xml:space="preserve">5558T3L</t>
    </r>
    <r>
      <rPr>
        <sz val="10"/>
        <rFont val="Noto Sans CJK SC"/>
        <family val="2"/>
      </rPr>
      <t xml:space="preserve">（モノタロウ </t>
    </r>
    <r>
      <rPr>
        <sz val="10"/>
        <rFont val="Arial"/>
        <family val="0"/>
        <charset val="1"/>
      </rPr>
      <t xml:space="preserve">75939333</t>
    </r>
    <r>
      <rPr>
        <sz val="10"/>
        <rFont val="Noto Sans CJK SC"/>
        <family val="2"/>
      </rPr>
      <t xml:space="preserve">）</t>
    </r>
  </si>
  <si>
    <t xml:space="preserve">オス端子 AWG16用、すずめっき2.5µm、バラ品、100個入り</t>
  </si>
  <si>
    <t xml:space="preserve">オス端子 AWG18〜24用</t>
  </si>
  <si>
    <r>
      <rPr>
        <sz val="10"/>
        <rFont val="Arial"/>
        <family val="0"/>
        <charset val="1"/>
      </rPr>
      <t xml:space="preserve">5558TL</t>
    </r>
    <r>
      <rPr>
        <sz val="10"/>
        <rFont val="Noto Sans CJK SC"/>
        <family val="2"/>
      </rPr>
      <t xml:space="preserve">（モノタロウ </t>
    </r>
    <r>
      <rPr>
        <sz val="10"/>
        <rFont val="Arial"/>
        <family val="0"/>
        <charset val="1"/>
      </rPr>
      <t xml:space="preserve">08561454</t>
    </r>
    <r>
      <rPr>
        <sz val="10"/>
        <rFont val="Noto Sans CJK SC"/>
        <family val="2"/>
      </rPr>
      <t xml:space="preserve">）</t>
    </r>
  </si>
  <si>
    <t xml:space="preserve">オス端子 AWG18〜24用、すずめっき2.5µm、バラ品、100個入り</t>
  </si>
  <si>
    <t xml:space="preserve">すずめっきで統一</t>
  </si>
  <si>
    <t xml:space="preserve">工具</t>
  </si>
  <si>
    <t xml:space="preserve">圧着工具 16AWG用</t>
  </si>
  <si>
    <r>
      <rPr>
        <sz val="10"/>
        <rFont val="Arial"/>
        <family val="0"/>
        <charset val="1"/>
      </rPr>
      <t xml:space="preserve">IWISS</t>
    </r>
    <r>
      <rPr>
        <sz val="10"/>
        <rFont val="Noto Sans CJK SC"/>
        <family val="2"/>
      </rPr>
      <t xml:space="preserve">（手持ち品で代用）</t>
    </r>
  </si>
  <si>
    <r>
      <rPr>
        <sz val="10"/>
        <rFont val="Arial"/>
        <family val="0"/>
        <charset val="1"/>
      </rPr>
      <t xml:space="preserve">SN-2549 </t>
    </r>
    <r>
      <rPr>
        <sz val="10"/>
        <rFont val="Noto Sans CJK SC"/>
        <family val="2"/>
      </rPr>
      <t xml:space="preserve">＋ </t>
    </r>
    <r>
      <rPr>
        <sz val="10"/>
        <rFont val="Arial"/>
        <family val="0"/>
        <charset val="1"/>
      </rPr>
      <t xml:space="preserve">48B</t>
    </r>
    <r>
      <rPr>
        <sz val="10"/>
        <rFont val="Noto Sans CJK SC"/>
        <family val="2"/>
      </rPr>
      <t xml:space="preserve">ダイス</t>
    </r>
  </si>
  <si>
    <r>
      <rPr>
        <sz val="10"/>
        <rFont val="Arial"/>
        <family val="0"/>
        <charset val="1"/>
      </rPr>
      <t xml:space="preserve">AWG16</t>
    </r>
    <r>
      <rPr>
        <sz val="10"/>
        <rFont val="Noto Sans CJK SC"/>
        <family val="2"/>
      </rPr>
      <t xml:space="preserve">は</t>
    </r>
    <r>
      <rPr>
        <sz val="10"/>
        <rFont val="Arial"/>
        <family val="0"/>
        <charset val="1"/>
      </rPr>
      <t xml:space="preserve">48B</t>
    </r>
    <r>
      <rPr>
        <sz val="10"/>
        <rFont val="Noto Sans CJK SC"/>
        <family val="2"/>
      </rPr>
      <t xml:space="preserve">ダイスの</t>
    </r>
    <r>
      <rPr>
        <sz val="10"/>
        <rFont val="Arial"/>
        <family val="0"/>
        <charset val="1"/>
      </rPr>
      <t xml:space="preserve">1.0</t>
    </r>
    <r>
      <rPr>
        <sz val="10"/>
        <rFont val="Noto Sans CJK SC"/>
        <family val="2"/>
      </rPr>
      <t xml:space="preserve">〜</t>
    </r>
    <r>
      <rPr>
        <sz val="10"/>
        <rFont val="Arial"/>
        <family val="0"/>
        <charset val="1"/>
      </rPr>
      <t xml:space="preserve">1.5sq</t>
    </r>
    <r>
      <rPr>
        <sz val="10"/>
        <rFont val="Noto Sans CJK SC"/>
        <family val="2"/>
      </rPr>
      <t xml:space="preserve">の溝で圧着</t>
    </r>
  </si>
  <si>
    <t xml:space="preserve">本</t>
  </si>
  <si>
    <t xml:space="preserve">試し圧着で確認：被覆側バレルの閉じ具合（モーター線の被覆外径2.7mm）、Molex仕様書の圧着高さ、引っ張り試験、ハウジングへの挿入</t>
  </si>
  <si>
    <t xml:space="preserve">購入不要（手持ち品）。不良なら純正200218-2200または63811-1000を検討</t>
  </si>
  <si>
    <t xml:space="preserve">圧着工具 18〜24AWG用</t>
  </si>
  <si>
    <r>
      <rPr>
        <sz val="10"/>
        <rFont val="Arial"/>
        <family val="0"/>
        <charset val="1"/>
      </rPr>
      <t xml:space="preserve">SN-2549</t>
    </r>
    <r>
      <rPr>
        <sz val="10"/>
        <rFont val="Noto Sans CJK SC"/>
        <family val="2"/>
      </rPr>
      <t xml:space="preserve">（標準ダイス）</t>
    </r>
  </si>
  <si>
    <r>
      <rPr>
        <sz val="10"/>
        <rFont val="Arial"/>
        <family val="0"/>
        <charset val="1"/>
      </rPr>
      <t xml:space="preserve">AWG20</t>
    </r>
    <r>
      <rPr>
        <sz val="10"/>
        <rFont val="Noto Sans CJK SC"/>
        <family val="2"/>
      </rPr>
      <t xml:space="preserve">は</t>
    </r>
    <r>
      <rPr>
        <sz val="10"/>
        <rFont val="Arial"/>
        <family val="0"/>
        <charset val="1"/>
      </rPr>
      <t xml:space="preserve">SN-2549</t>
    </r>
    <r>
      <rPr>
        <sz val="10"/>
        <rFont val="Noto Sans CJK SC"/>
        <family val="2"/>
      </rPr>
      <t xml:space="preserve">の標準ダイスで圧着</t>
    </r>
  </si>
  <si>
    <t xml:space="preserve">試し圧着で確認：芯線・被覆の両バレルの巻き具合、引っ張り試験、ハウジングへの挿入</t>
  </si>
  <si>
    <t xml:space="preserve">購入不要（手持ち品）</t>
  </si>
  <si>
    <t xml:space="preserve">端子取り外し工具</t>
  </si>
  <si>
    <t xml:space="preserve">Molex</t>
  </si>
  <si>
    <t xml:space="preserve">11-03-0044</t>
  </si>
  <si>
    <r>
      <rPr>
        <sz val="10"/>
        <rFont val="Arial"/>
        <family val="0"/>
        <charset val="1"/>
      </rPr>
      <t xml:space="preserve">Mini-Fit Jr. </t>
    </r>
    <r>
      <rPr>
        <sz val="10"/>
        <rFont val="Noto Sans CJK SC"/>
        <family val="2"/>
      </rPr>
      <t xml:space="preserve">用エクストラクタ</t>
    </r>
  </si>
  <si>
    <t xml:space="preserve">ピン配置の修正、将来のDT移行に使用</t>
  </si>
  <si>
    <t xml:space="preserve">電線</t>
  </si>
  <si>
    <t xml:space="preserve">モーター電力用 シールド付き4芯ケーブル</t>
  </si>
  <si>
    <t xml:space="preserve">大電</t>
  </si>
  <si>
    <t xml:space="preserve">ロボトップ(DPC3-SB/2517)AWG16(1.25sq)4c（モノタロウ 34967274、5m巻）</t>
  </si>
  <si>
    <r>
      <rPr>
        <sz val="10"/>
        <rFont val="Arial"/>
        <family val="0"/>
        <charset val="1"/>
      </rPr>
      <t xml:space="preserve">1.25mm²×4</t>
    </r>
    <r>
      <rPr>
        <sz val="10"/>
        <rFont val="Noto Sans CJK SC"/>
        <family val="2"/>
      </rPr>
      <t xml:space="preserve">芯、より線</t>
    </r>
    <r>
      <rPr>
        <sz val="10"/>
        <rFont val="Arial"/>
        <family val="0"/>
        <charset val="1"/>
      </rPr>
      <t xml:space="preserve">124/0.12</t>
    </r>
    <r>
      <rPr>
        <sz val="10"/>
        <rFont val="Noto Sans CJK SC"/>
        <family val="2"/>
      </rPr>
      <t xml:space="preserve">、絶縁体外径</t>
    </r>
    <r>
      <rPr>
        <sz val="10"/>
        <rFont val="Arial"/>
        <family val="0"/>
        <charset val="1"/>
      </rPr>
      <t xml:space="preserve">2.7mm</t>
    </r>
    <r>
      <rPr>
        <sz val="10"/>
        <rFont val="Noto Sans CJK SC"/>
        <family val="2"/>
      </rPr>
      <t xml:space="preserve">、仕上外径</t>
    </r>
    <r>
      <rPr>
        <sz val="10"/>
        <rFont val="Arial"/>
        <family val="0"/>
        <charset val="1"/>
      </rPr>
      <t xml:space="preserve">9.9mm</t>
    </r>
    <r>
      <rPr>
        <sz val="10"/>
        <rFont val="Noto Sans CJK SC"/>
        <family val="2"/>
      </rPr>
      <t xml:space="preserve">、シールド付き、</t>
    </r>
    <r>
      <rPr>
        <sz val="10"/>
        <rFont val="Arial"/>
        <family val="0"/>
        <charset val="1"/>
      </rPr>
      <t xml:space="preserve">UL/c-UL 105℃</t>
    </r>
    <r>
      <rPr>
        <sz val="10"/>
        <rFont val="Noto Sans CJK SC"/>
        <family val="2"/>
      </rPr>
      <t xml:space="preserve">、</t>
    </r>
    <r>
      <rPr>
        <sz val="10"/>
        <rFont val="Arial"/>
        <family val="0"/>
        <charset val="1"/>
      </rPr>
      <t xml:space="preserve">300V</t>
    </r>
    <r>
      <rPr>
        <sz val="10"/>
        <rFont val="Noto Sans CJK SC"/>
        <family val="2"/>
      </rPr>
      <t xml:space="preserve">。左右モーターの</t>
    </r>
    <r>
      <rPr>
        <sz val="10"/>
        <rFont val="Arial"/>
        <family val="0"/>
        <charset val="1"/>
      </rPr>
      <t xml:space="preserve">±</t>
    </r>
    <r>
      <rPr>
        <sz val="10"/>
        <rFont val="Noto Sans CJK SC"/>
        <family val="2"/>
      </rPr>
      <t xml:space="preserve">をまとめて通す</t>
    </r>
  </si>
  <si>
    <t xml:space="preserve">m</t>
  </si>
  <si>
    <t xml:space="preserve">各モーターの＋と−は対角の芯線同士で組む（スターカッド）。芯線の色の割り当てをピン配置シートに記録。シールドはMDDS30側（③の端）のみGNDに接続し、①②の区間は折り返して絶縁</t>
  </si>
  <si>
    <t xml:space="preserve">今回は不採用（到着まで約1週間のため代替案2で先行）。将来の置き換え候補。5m巻×1（必要量2.4m）</t>
  </si>
  <si>
    <r>
      <rPr>
        <sz val="10"/>
        <rFont val="Arial"/>
        <family val="0"/>
        <charset val="1"/>
      </rPr>
      <t xml:space="preserve">10-</t>
    </r>
    <r>
      <rPr>
        <sz val="10"/>
        <rFont val="Noto Sans CJK SC"/>
        <family val="2"/>
      </rPr>
      <t xml:space="preserve">代替</t>
    </r>
    <r>
      <rPr>
        <sz val="10"/>
        <rFont val="Arial"/>
        <family val="0"/>
        <charset val="1"/>
      </rPr>
      <t xml:space="preserve">1</t>
    </r>
  </si>
  <si>
    <t xml:space="preserve">モーター線 AWG16 シリコン線 赤黒（自作ツイスト）【No.10の代替案1】</t>
  </si>
  <si>
    <r>
      <rPr>
        <sz val="10"/>
        <rFont val="Arial"/>
        <family val="0"/>
        <charset val="1"/>
      </rPr>
      <t xml:space="preserve">HaerknCbl</t>
    </r>
    <r>
      <rPr>
        <sz val="10"/>
        <rFont val="Noto Sans CJK SC"/>
        <family val="2"/>
      </rPr>
      <t xml:space="preserve">（</t>
    </r>
    <r>
      <rPr>
        <sz val="10"/>
        <rFont val="Arial"/>
        <family val="0"/>
        <charset val="1"/>
      </rPr>
      <t xml:space="preserve">Amazon</t>
    </r>
    <r>
      <rPr>
        <sz val="10"/>
        <rFont val="Noto Sans CJK SC"/>
        <family val="2"/>
      </rPr>
      <t xml:space="preserve">）</t>
    </r>
  </si>
  <si>
    <r>
      <rPr>
        <sz val="10"/>
        <rFont val="Arial"/>
        <family val="0"/>
        <charset val="1"/>
      </rPr>
      <t xml:space="preserve">16AWG/1.3Sq </t>
    </r>
    <r>
      <rPr>
        <sz val="10"/>
        <rFont val="Noto Sans CJK SC"/>
        <family val="2"/>
      </rPr>
      <t xml:space="preserve">シリコンワイヤー 赤＋黒 </t>
    </r>
    <r>
      <rPr>
        <sz val="10"/>
        <rFont val="Arial"/>
        <family val="0"/>
        <charset val="1"/>
      </rPr>
      <t xml:space="preserve">2</t>
    </r>
    <r>
      <rPr>
        <sz val="10"/>
        <rFont val="Noto Sans CJK SC"/>
        <family val="2"/>
      </rPr>
      <t xml:space="preserve">色セット（</t>
    </r>
    <r>
      <rPr>
        <sz val="10"/>
        <rFont val="Arial"/>
        <family val="0"/>
        <charset val="1"/>
      </rPr>
      <t xml:space="preserve">10m</t>
    </r>
    <r>
      <rPr>
        <sz val="10"/>
        <rFont val="Noto Sans CJK SC"/>
        <family val="2"/>
      </rPr>
      <t xml:space="preserve">を選択）</t>
    </r>
  </si>
  <si>
    <r>
      <rPr>
        <sz val="10"/>
        <rFont val="Arial"/>
        <family val="0"/>
        <charset val="1"/>
      </rPr>
      <t xml:space="preserve">1.3sq</t>
    </r>
    <r>
      <rPr>
        <sz val="10"/>
        <rFont val="Noto Sans CJK SC"/>
        <family val="2"/>
      </rPr>
      <t xml:space="preserve">、すずめっき銅より線、</t>
    </r>
    <r>
      <rPr>
        <sz val="10"/>
        <rFont val="Arial"/>
        <family val="0"/>
        <charset val="1"/>
      </rPr>
      <t xml:space="preserve">200℃</t>
    </r>
    <r>
      <rPr>
        <sz val="10"/>
        <rFont val="Noto Sans CJK SC"/>
        <family val="2"/>
      </rPr>
      <t xml:space="preserve">、</t>
    </r>
    <r>
      <rPr>
        <sz val="10"/>
        <rFont val="Arial"/>
        <family val="0"/>
        <charset val="1"/>
      </rPr>
      <t xml:space="preserve">600V</t>
    </r>
    <r>
      <rPr>
        <sz val="10"/>
        <rFont val="Noto Sans CJK SC"/>
        <family val="2"/>
      </rPr>
      <t xml:space="preserve">。赤を＋、黒を−に使い、左右モーター用に赤黒を</t>
    </r>
    <r>
      <rPr>
        <sz val="10"/>
        <rFont val="Arial"/>
        <family val="0"/>
        <charset val="1"/>
      </rPr>
      <t xml:space="preserve">2</t>
    </r>
    <r>
      <rPr>
        <sz val="10"/>
        <rFont val="Noto Sans CJK SC"/>
        <family val="2"/>
      </rPr>
      <t xml:space="preserve">本ずつ自分でツイスト（</t>
    </r>
    <r>
      <rPr>
        <sz val="10"/>
        <rFont val="Arial"/>
        <family val="0"/>
        <charset val="1"/>
      </rPr>
      <t xml:space="preserve">2</t>
    </r>
    <r>
      <rPr>
        <sz val="10"/>
        <rFont val="Noto Sans CJK SC"/>
        <family val="2"/>
      </rPr>
      <t xml:space="preserve">〜</t>
    </r>
    <r>
      <rPr>
        <sz val="10"/>
        <rFont val="Arial"/>
        <family val="0"/>
        <charset val="1"/>
      </rPr>
      <t xml:space="preserve">3cm</t>
    </r>
    <r>
      <rPr>
        <sz val="10"/>
        <rFont val="Noto Sans CJK SC"/>
        <family val="2"/>
      </rPr>
      <t xml:space="preserve">に</t>
    </r>
    <r>
      <rPr>
        <sz val="10"/>
        <rFont val="Arial"/>
        <family val="0"/>
        <charset val="1"/>
      </rPr>
      <t xml:space="preserve">1</t>
    </r>
    <r>
      <rPr>
        <sz val="10"/>
        <rFont val="Noto Sans CJK SC"/>
        <family val="2"/>
      </rPr>
      <t xml:space="preserve">回転）</t>
    </r>
  </si>
  <si>
    <t xml:space="preserve">セット</t>
  </si>
  <si>
    <t xml:space="preserve">被覆外径をノギスで測り試し圧着で確認。各色約2.6m必要（1本約1.3m×2本、ツイストの縮み込み）。色で左右を区別できないので、ツイスト直後に両端へR/Lのマーカーを付ける（No.18）。シリコン被覆は傷に弱いので角やクランプ部を保護</t>
  </si>
  <si>
    <t xml:space="preserve">今回は不採用（代替案2を採用）</t>
  </si>
  <si>
    <r>
      <rPr>
        <sz val="10"/>
        <rFont val="Arial"/>
        <family val="0"/>
        <charset val="1"/>
      </rPr>
      <t xml:space="preserve">10-</t>
    </r>
    <r>
      <rPr>
        <sz val="10"/>
        <rFont val="Noto Sans CJK SC"/>
        <family val="2"/>
      </rPr>
      <t xml:space="preserve">代替</t>
    </r>
    <r>
      <rPr>
        <sz val="10"/>
        <rFont val="Arial"/>
        <family val="0"/>
        <charset val="1"/>
      </rPr>
      <t xml:space="preserve">2</t>
    </r>
  </si>
  <si>
    <t xml:space="preserve">モーター線 AV1.25 車両用ビニル線 赤・黒（自作ツイスト）【No.10の代替案2】</t>
  </si>
  <si>
    <t xml:space="preserve">エーモン（モノタロウ）</t>
  </si>
  <si>
    <r>
      <rPr>
        <sz val="10"/>
        <rFont val="Arial"/>
        <family val="0"/>
        <charset val="1"/>
      </rPr>
      <t xml:space="preserve">3470 AV1.25 6m</t>
    </r>
    <r>
      <rPr>
        <sz val="10"/>
        <rFont val="Noto Sans CJK SC"/>
        <family val="2"/>
      </rPr>
      <t xml:space="preserve">（</t>
    </r>
    <r>
      <rPr>
        <sz val="10"/>
        <rFont val="Arial"/>
        <family val="0"/>
        <charset val="1"/>
      </rPr>
      <t xml:space="preserve">73991628</t>
    </r>
    <r>
      <rPr>
        <sz val="10"/>
        <rFont val="Noto Sans CJK SC"/>
        <family val="2"/>
      </rPr>
      <t xml:space="preserve">）を赤・黒の</t>
    </r>
    <r>
      <rPr>
        <sz val="10"/>
        <rFont val="Arial"/>
        <family val="0"/>
        <charset val="1"/>
      </rPr>
      <t xml:space="preserve">2</t>
    </r>
    <r>
      <rPr>
        <sz val="10"/>
        <rFont val="Noto Sans CJK SC"/>
        <family val="2"/>
      </rPr>
      <t xml:space="preserve">色で購入（黄・青は品切れ）</t>
    </r>
  </si>
  <si>
    <r>
      <rPr>
        <sz val="10"/>
        <rFont val="Arial"/>
        <family val="0"/>
        <charset val="1"/>
      </rPr>
      <t xml:space="preserve">1.25sq</t>
    </r>
    <r>
      <rPr>
        <sz val="10"/>
        <rFont val="Noto Sans CJK SC"/>
        <family val="2"/>
      </rPr>
      <t xml:space="preserve">、素線</t>
    </r>
    <r>
      <rPr>
        <sz val="10"/>
        <rFont val="Arial"/>
        <family val="0"/>
        <charset val="1"/>
      </rPr>
      <t xml:space="preserve">50</t>
    </r>
    <r>
      <rPr>
        <sz val="10"/>
        <rFont val="Noto Sans CJK SC"/>
        <family val="2"/>
      </rPr>
      <t xml:space="preserve">本のより線、耐油・耐候性ビニル、導体最高許容温度</t>
    </r>
    <r>
      <rPr>
        <sz val="10"/>
        <rFont val="Arial"/>
        <family val="0"/>
        <charset val="1"/>
      </rPr>
      <t xml:space="preserve">80℃</t>
    </r>
    <r>
      <rPr>
        <sz val="10"/>
        <rFont val="Noto Sans CJK SC"/>
        <family val="2"/>
      </rPr>
      <t xml:space="preserve">、許容電流</t>
    </r>
    <r>
      <rPr>
        <sz val="10"/>
        <rFont val="Arial"/>
        <family val="0"/>
        <charset val="1"/>
      </rPr>
      <t xml:space="preserve">11.6A</t>
    </r>
    <r>
      <rPr>
        <sz val="10"/>
        <rFont val="Noto Sans CJK SC"/>
        <family val="2"/>
      </rPr>
      <t xml:space="preserve">。赤＝＋、黒＝−で左右モーター用に</t>
    </r>
    <r>
      <rPr>
        <sz val="10"/>
        <rFont val="Arial"/>
        <family val="0"/>
        <charset val="1"/>
      </rPr>
      <t xml:space="preserve">2</t>
    </r>
    <r>
      <rPr>
        <sz val="10"/>
        <rFont val="Noto Sans CJK SC"/>
        <family val="2"/>
      </rPr>
      <t xml:space="preserve">組ツイスト</t>
    </r>
  </si>
  <si>
    <t xml:space="preserve">本（色）</t>
  </si>
  <si>
    <t xml:space="preserve">被覆外径（約2.7〜3mm）を測り5556T3L／5558T3Lで試し圧着。各色約2.6m必要（6mで余裕あり）。左右は色で区別できないため、No.18のマーカーチューブで「R」「L」を表示</t>
  </si>
  <si>
    <t xml:space="preserve">【今回採用・4極ハーネス】赤・黒 各6m×1。No.10・代替案1は購入不要</t>
  </si>
  <si>
    <r>
      <rPr>
        <sz val="10"/>
        <rFont val="Arial"/>
        <family val="0"/>
        <charset val="1"/>
      </rPr>
      <t xml:space="preserve">5V</t>
    </r>
    <r>
      <rPr>
        <sz val="10"/>
        <rFont val="Noto Sans CJK SC"/>
        <family val="2"/>
      </rPr>
      <t xml:space="preserve">用 </t>
    </r>
    <r>
      <rPr>
        <sz val="10"/>
        <rFont val="Arial"/>
        <family val="0"/>
        <charset val="1"/>
      </rPr>
      <t xml:space="preserve">AWG20 </t>
    </r>
    <r>
      <rPr>
        <sz val="10"/>
        <rFont val="Noto Sans CJK SC"/>
        <family val="2"/>
      </rPr>
      <t xml:space="preserve">電線（赤）</t>
    </r>
  </si>
  <si>
    <t xml:space="preserve">—</t>
  </si>
  <si>
    <t xml:space="preserve">No.13のペア3で代用（購入不要）</t>
  </si>
  <si>
    <t xml:space="preserve">ペア3の芯線の色の割り当てをピン配置シートに記録</t>
  </si>
  <si>
    <t xml:space="preserve">購入不要（No.13のペア3）</t>
  </si>
  <si>
    <r>
      <rPr>
        <sz val="10"/>
        <rFont val="Arial"/>
        <family val="0"/>
        <charset val="1"/>
      </rPr>
      <t xml:space="preserve">GND</t>
    </r>
    <r>
      <rPr>
        <sz val="10"/>
        <rFont val="Noto Sans CJK SC"/>
        <family val="2"/>
      </rPr>
      <t xml:space="preserve">用 </t>
    </r>
    <r>
      <rPr>
        <sz val="10"/>
        <rFont val="Arial"/>
        <family val="0"/>
        <charset val="1"/>
      </rPr>
      <t xml:space="preserve">AWG20 </t>
    </r>
    <r>
      <rPr>
        <sz val="10"/>
        <rFont val="Noto Sans CJK SC"/>
        <family val="2"/>
      </rPr>
      <t xml:space="preserve">電線（黒）</t>
    </r>
  </si>
  <si>
    <r>
      <rPr>
        <sz val="10"/>
        <rFont val="Arial"/>
        <family val="0"/>
        <charset val="1"/>
      </rPr>
      <t xml:space="preserve">14</t>
    </r>
    <r>
      <rPr>
        <sz val="10"/>
        <rFont val="Noto Sans CJK SC"/>
        <family val="2"/>
      </rPr>
      <t xml:space="preserve">極ハーネス用 シールド付きツイストペアケーブル（</t>
    </r>
    <r>
      <rPr>
        <sz val="10"/>
        <rFont val="Arial"/>
        <family val="0"/>
        <charset val="1"/>
      </rPr>
      <t xml:space="preserve">RC</t>
    </r>
    <r>
      <rPr>
        <sz val="10"/>
        <rFont val="Noto Sans CJK SC"/>
        <family val="2"/>
      </rPr>
      <t xml:space="preserve">信号・</t>
    </r>
    <r>
      <rPr>
        <sz val="10"/>
        <rFont val="Arial"/>
        <family val="0"/>
        <charset val="1"/>
      </rPr>
      <t xml:space="preserve">5V</t>
    </r>
    <r>
      <rPr>
        <sz val="10"/>
        <rFont val="Noto Sans CJK SC"/>
        <family val="2"/>
      </rPr>
      <t xml:space="preserve">・アナログ・非常停止</t>
    </r>
    <r>
      <rPr>
        <sz val="10"/>
        <rFont val="Arial"/>
        <family val="0"/>
        <charset val="1"/>
      </rPr>
      <t xml:space="preserve">SW</t>
    </r>
    <r>
      <rPr>
        <sz val="10"/>
        <rFont val="Noto Sans CJK SC"/>
        <family val="2"/>
      </rPr>
      <t xml:space="preserve">・</t>
    </r>
    <r>
      <rPr>
        <sz val="10"/>
        <rFont val="Arial"/>
        <family val="0"/>
        <charset val="1"/>
      </rPr>
      <t xml:space="preserve">LED</t>
    </r>
    <r>
      <rPr>
        <sz val="10"/>
        <rFont val="Noto Sans CJK SC"/>
        <family val="2"/>
      </rPr>
      <t xml:space="preserve">）</t>
    </r>
  </si>
  <si>
    <t xml:space="preserve">太陽ケーブルテック（旧テイコク）</t>
  </si>
  <si>
    <r>
      <rPr>
        <sz val="10"/>
        <rFont val="Arial"/>
        <family val="0"/>
        <charset val="1"/>
      </rPr>
      <t xml:space="preserve">SX(NE) 0.5sq×7P</t>
    </r>
    <r>
      <rPr>
        <sz val="10"/>
        <rFont val="Noto Sans CJK SC"/>
        <family val="2"/>
      </rPr>
      <t xml:space="preserve">（モノタロウ </t>
    </r>
    <r>
      <rPr>
        <sz val="10"/>
        <rFont val="Arial"/>
        <family val="0"/>
        <charset val="1"/>
      </rPr>
      <t xml:space="preserve">5m</t>
    </r>
    <r>
      <rPr>
        <sz val="10"/>
        <rFont val="Noto Sans CJK SC"/>
        <family val="2"/>
      </rPr>
      <t xml:space="preserve">巻 </t>
    </r>
    <r>
      <rPr>
        <sz val="10"/>
        <rFont val="Arial"/>
        <family val="0"/>
        <charset val="1"/>
      </rPr>
      <t xml:space="preserve">34956862</t>
    </r>
    <r>
      <rPr>
        <sz val="10"/>
        <rFont val="Noto Sans CJK SC"/>
        <family val="2"/>
      </rPr>
      <t xml:space="preserve">）</t>
    </r>
  </si>
  <si>
    <t xml:space="preserve">0.5mm²×7対、編組シールド＋ドレインワイヤ、絶縁体外径1.5mm、仕上外径9.9mm、許容電流5.4A、150V</t>
  </si>
  <si>
    <t xml:space="preserve">巻（5m）</t>
  </si>
  <si>
    <t xml:space="preserve">ペア1：RC右＋信号GND、ペア2：RC左＋信号GND、ペア3：5V＋GND、ペア4：SW COM＋NC、ペア5：LED＋＋LED−、ペア6：CURRENT＋VOLTAGE、ペア7：5V＋GND（2本目）。芯線の色をピン配置シートに記録。信号GNDは2本を1端子にダブル圧着</t>
  </si>
  <si>
    <t xml:space="preserve">5m巻×1（1台分の必要量は約1.2m。作り直し・予備を含む）。税別9,498円、出荷6日以内。2m巻（34956381）でも1台分は可</t>
  </si>
  <si>
    <t xml:space="preserve">材料</t>
  </si>
  <si>
    <t xml:space="preserve">編組チューブ（PET編組スリーブ）</t>
  </si>
  <si>
    <t xml:space="preserve">デンカエレクトロン</t>
  </si>
  <si>
    <r>
      <rPr>
        <sz val="10"/>
        <rFont val="Arial"/>
        <family val="0"/>
        <charset val="1"/>
      </rPr>
      <t xml:space="preserve">FL-12-5</t>
    </r>
    <r>
      <rPr>
        <sz val="10"/>
        <rFont val="Noto Sans CJK SC"/>
        <family val="2"/>
      </rPr>
      <t xml:space="preserve">（モノタロウ </t>
    </r>
    <r>
      <rPr>
        <sz val="10"/>
        <rFont val="Arial"/>
        <family val="0"/>
        <charset val="1"/>
      </rPr>
      <t xml:space="preserve">34658872</t>
    </r>
    <r>
      <rPr>
        <sz val="10"/>
        <rFont val="Noto Sans CJK SC"/>
        <family val="2"/>
      </rPr>
      <t xml:space="preserve">、全長</t>
    </r>
    <r>
      <rPr>
        <sz val="10"/>
        <rFont val="Arial"/>
        <family val="0"/>
        <charset val="1"/>
      </rPr>
      <t xml:space="preserve">5m</t>
    </r>
    <r>
      <rPr>
        <sz val="10"/>
        <rFont val="Noto Sans CJK SC"/>
        <family val="2"/>
      </rPr>
      <t xml:space="preserve">、最大径約</t>
    </r>
    <r>
      <rPr>
        <sz val="10"/>
        <rFont val="Arial"/>
        <family val="0"/>
        <charset val="1"/>
      </rPr>
      <t xml:space="preserve">24mm</t>
    </r>
    <r>
      <rPr>
        <sz val="10"/>
        <rFont val="Noto Sans CJK SC"/>
        <family val="2"/>
      </rPr>
      <t xml:space="preserve">）</t>
    </r>
  </si>
  <si>
    <t xml:space="preserve">ポリエステルモノフィラメント、−75〜125℃、UL224、自己消火性。自然折径幅約12〜13mm</t>
  </si>
  <si>
    <t xml:space="preserve">本（5m）</t>
  </si>
  <si>
    <t xml:space="preserve">2本のハーネスそれぞれに使用：4極ハーネス（AVツイストペア2組、外径10mm前後）、14極ハーネス（SX(NE)単体、外径9.9mm）。FL-12（自然折径約12mm、最大径約24mm）はどちらにも適合。切り口ははんだごてで溶着し、熱収縮チューブで仕上げる。SX(NE)はシースがあるため、擦れの心配がない区間は省略可</t>
  </si>
  <si>
    <r>
      <rPr>
        <sz val="10"/>
        <rFont val="Arial"/>
        <family val="0"/>
        <charset val="1"/>
      </rPr>
      <t xml:space="preserve">5m</t>
    </r>
    <r>
      <rPr>
        <sz val="10"/>
        <rFont val="Noto Sans CJK SC"/>
        <family val="2"/>
      </rPr>
      <t xml:space="preserve">巻</t>
    </r>
    <r>
      <rPr>
        <sz val="10"/>
        <rFont val="Arial"/>
        <family val="0"/>
        <charset val="1"/>
      </rPr>
      <t xml:space="preserve">×1</t>
    </r>
    <r>
      <rPr>
        <sz val="10"/>
        <rFont val="Noto Sans CJK SC"/>
        <family val="2"/>
      </rPr>
      <t xml:space="preserve">から約</t>
    </r>
    <r>
      <rPr>
        <sz val="10"/>
        <rFont val="Arial"/>
        <family val="0"/>
        <charset val="1"/>
      </rPr>
      <t xml:space="preserve">0.72m×2</t>
    </r>
    <r>
      <rPr>
        <sz val="10"/>
        <rFont val="Noto Sans CJK SC"/>
        <family val="2"/>
      </rPr>
      <t xml:space="preserve">本（</t>
    </r>
    <r>
      <rPr>
        <sz val="10"/>
        <rFont val="Arial"/>
        <family val="0"/>
        <charset val="1"/>
      </rPr>
      <t xml:space="preserve">4</t>
    </r>
    <r>
      <rPr>
        <sz val="10"/>
        <rFont val="Noto Sans CJK SC"/>
        <family val="2"/>
      </rPr>
      <t xml:space="preserve">極用・</t>
    </r>
    <r>
      <rPr>
        <sz val="10"/>
        <rFont val="Arial"/>
        <family val="0"/>
        <charset val="1"/>
      </rPr>
      <t xml:space="preserve">14</t>
    </r>
    <r>
      <rPr>
        <sz val="10"/>
        <rFont val="Noto Sans CJK SC"/>
        <family val="2"/>
      </rPr>
      <t xml:space="preserve">極用）を切り出す</t>
    </r>
  </si>
  <si>
    <t xml:space="preserve">熱収縮チューブ（パック品）</t>
  </si>
  <si>
    <t xml:space="preserve">モノタロウ</t>
  </si>
  <si>
    <t xml:space="preserve">収縮チューブ パック品（モノタロウ 60981052）</t>
  </si>
  <si>
    <t xml:space="preserve">収縮前内径1.5/2.5/3.0/4.5/6.5/10.7/12.7mm 各1m×7本、2:1、−55〜125℃、600V</t>
  </si>
  <si>
    <t xml:space="preserve">用途の目安：ドレイン線1.5mm、AV線ツイスト端10.7mm、SX(NE)外被端10.7〜12.7mm、編組チューブ端部（各ハーネス外径10mm前後）12.7mm</t>
  </si>
  <si>
    <t xml:space="preserve">代替：PANDUIT HSTT-YK1／YK2は各15cm×2本で量が不足するため不採用</t>
  </si>
  <si>
    <t xml:space="preserve">ハーネス結束用テープ（布）</t>
  </si>
  <si>
    <t xml:space="preserve">テープ ハーネス結束用（モノタロウ 89826862）</t>
  </si>
  <si>
    <t xml:space="preserve">ポリエステル布基材、アクリル系粘着剤、幅19mm×19.6m、厚さ0.3mm、−40〜105℃、手切り可</t>
  </si>
  <si>
    <t xml:space="preserve">巻</t>
  </si>
  <si>
    <t xml:space="preserve">4極ハーネス（AVツイストペア2組）を10〜15cm間隔で束ねる。14極ハーネスはSX(NE)単体のため、端部とクリップ部の保護に使用。両端に巻いて「前部／後部」「MOTOR／SIGNAL」を油性ペンで記入</t>
  </si>
  <si>
    <t xml:space="preserve">今回はこちらを購入。代替：キタコ ハーネステープ PVC 0900-755-07010（モノタロウ 73778959、幅19mm×20m、税込395円）</t>
  </si>
  <si>
    <t xml:space="preserve">ケーブルクリップ（ねじ固定式）</t>
  </si>
  <si>
    <t xml:space="preserve">TRUSCO</t>
  </si>
  <si>
    <t xml:space="preserve">TCCシリーズ。同軸用：TCC0（適合径3.1mm、モノタロウ 48918886）。ハーネス用：4極・14極とも外径10mm前後のため12.7mmサイズが候補（ハーネスを組んで外径確認後に購入）</t>
  </si>
  <si>
    <t xml:space="preserve">ナイロン66、取付穴4.8mm（M4ねじ）、100個入り。適合径3.1〜36.7mmの12サイズ</t>
  </si>
  <si>
    <t xml:space="preserve">袋</t>
  </si>
  <si>
    <t xml:space="preserve">4極ハーネス・14極ハーネス・GNSS同軸をそれぞれ別のクリップで固定し、互いに数cm離す。クリップはハーネスより少し大きいサイズを選び、隙間は布テープで調整。締めすぎ注意（ナイロン割れ・同軸の潰れ）</t>
  </si>
  <si>
    <t xml:space="preserve">TCC0×1袋を購入。ハーネス用（12.7mm候補）は外径確認後に追加購入。固定箇所はハーネス2本分（各3〜4か所）。M4ねじ・ナットは別途</t>
  </si>
  <si>
    <t xml:space="preserve">マーカーチューブ（ビニールチューブ 白）</t>
  </si>
  <si>
    <r>
      <rPr>
        <sz val="10"/>
        <rFont val="Arial"/>
        <family val="0"/>
        <charset val="1"/>
      </rPr>
      <t xml:space="preserve">TB-3.2W</t>
    </r>
    <r>
      <rPr>
        <sz val="10"/>
        <rFont val="Noto Sans CJK SC"/>
        <family val="2"/>
      </rPr>
      <t xml:space="preserve">（モノタロウ </t>
    </r>
    <r>
      <rPr>
        <sz val="10"/>
        <rFont val="Arial"/>
        <family val="0"/>
        <charset val="1"/>
      </rPr>
      <t xml:space="preserve">34690083</t>
    </r>
    <r>
      <rPr>
        <sz val="10"/>
        <rFont val="Noto Sans CJK SC"/>
        <family val="2"/>
      </rPr>
      <t xml:space="preserve">）</t>
    </r>
  </si>
  <si>
    <t xml:space="preserve">内径3.2mm、肉厚0.45mm、軟質PVC、白、5m、−20〜60℃</t>
  </si>
  <si>
    <t xml:space="preserve">圧着前に電線へ通す。油性ペンで「R+」「R−」「L+」「L−」などと記入（必要に応じ透明熱収縮チューブで保護）。①②③の各端部に約1.5cm（最大24か所）</t>
  </si>
  <si>
    <t xml:space="preserve">AV線が赤黒2色のみのため左右の区別に使用。「前部」「後部」は布テープ（No.16）に記入</t>
  </si>
  <si>
    <t xml:space="preserve">RC用 細線（ピグテール）</t>
  </si>
  <si>
    <r>
      <rPr>
        <sz val="10"/>
        <rFont val="Arial"/>
        <family val="0"/>
        <charset val="1"/>
      </rPr>
      <t xml:space="preserve">UL1007 AWG24 </t>
    </r>
    <r>
      <rPr>
        <sz val="10"/>
        <rFont val="Noto Sans CJK SC"/>
        <family val="2"/>
      </rPr>
      <t xml:space="preserve">より線（例）</t>
    </r>
  </si>
  <si>
    <t xml:space="preserve">MDDS30のRC1・RC2の直前でSX(NE)の0.5sq線から継ぐ短い線。信号2本＋GND2本、各5〜10cm</t>
  </si>
  <si>
    <t xml:space="preserve">SX(NE)の線とはんだで継ぎ、熱収縮チューブ（No.15の1.5／2.5mm）で絶縁。ドレインはこの継ぎ目でGND側の線にはんだ付け（RC1またはRC2の一方のみ）。継ぎ目はMDDS30近くで固定</t>
  </si>
  <si>
    <t xml:space="preserve">手持ちがあれば購入不要。色はSIG／GNDで分けると誤配線防止になる</t>
  </si>
  <si>
    <t xml:space="preserve">Dupont 1×3ピン ハウジング＋メス端子</t>
  </si>
  <si>
    <r>
      <rPr>
        <sz val="10"/>
        <rFont val="Arial"/>
        <family val="0"/>
        <charset val="1"/>
      </rPr>
      <t xml:space="preserve">2.54mm</t>
    </r>
    <r>
      <rPr>
        <sz val="10"/>
        <rFont val="Noto Sans CJK SC"/>
        <family val="2"/>
      </rPr>
      <t xml:space="preserve">ピッチ </t>
    </r>
    <r>
      <rPr>
        <sz val="10"/>
        <rFont val="Arial"/>
        <family val="0"/>
        <charset val="1"/>
      </rPr>
      <t xml:space="preserve">1×3 </t>
    </r>
    <r>
      <rPr>
        <sz val="10"/>
        <rFont val="Noto Sans CJK SC"/>
        <family val="2"/>
      </rPr>
      <t xml:space="preserve">ハウジング、メス圧着端子（</t>
    </r>
    <r>
      <rPr>
        <sz val="10"/>
        <rFont val="Arial"/>
        <family val="0"/>
        <charset val="1"/>
      </rPr>
      <t xml:space="preserve">AWG22</t>
    </r>
    <r>
      <rPr>
        <sz val="10"/>
        <rFont val="Noto Sans CJK SC"/>
        <family val="2"/>
      </rPr>
      <t xml:space="preserve">〜</t>
    </r>
    <r>
      <rPr>
        <sz val="10"/>
        <rFont val="Arial"/>
        <family val="0"/>
        <charset val="1"/>
      </rPr>
      <t xml:space="preserve">28</t>
    </r>
    <r>
      <rPr>
        <sz val="10"/>
        <rFont val="Noto Sans CJK SC"/>
        <family val="2"/>
      </rPr>
      <t xml:space="preserve">用）</t>
    </r>
  </si>
  <si>
    <t xml:space="preserve">MDDS30のRC1・RC2（SIG・5V・GNDの3ピン）用。中央の5Vは空き</t>
  </si>
  <si>
    <t xml:space="preserve">組</t>
  </si>
  <si>
    <t xml:space="preserve">IWISS SN-2549で圧着。逆挿し防止のためハウジングとMDDS30にGND側の印、RC1／RC2（R／L）の印を付ける。振動で抜けないようホットボンド等で固定</t>
  </si>
  <si>
    <t xml:space="preserve">ハウジング2個＋端子4個（予備含め多めに）。手持ちのDupontキットがあれば購入不要</t>
  </si>
  <si>
    <t xml:space="preserve">集計</t>
  </si>
  <si>
    <t xml:space="preserve">確認済の項目数</t>
  </si>
  <si>
    <t xml:space="preserve">受領済の項目数</t>
  </si>
  <si>
    <t xml:space="preserve">注記</t>
  </si>
  <si>
    <t xml:space="preserve">・品番は公開されている販売店・メーカー資料で確認したもの（2026年10月時点）。購入前にMolexの製品ページで最新情報を確認してください。</t>
  </si>
  <si>
    <t xml:space="preserve">・16AWG用端子の圧着工具・アプリケータは被覆外径別（1.80〜2.20mm、2.20〜2.45mm、2.60〜3.15mm）に分かれる。モーター線（ロボトップ4芯）の被覆外径は2.7mm。</t>
  </si>
  <si>
    <t xml:space="preserve">・端子のめっきはオス・メスともすずめっきで統一する（すずと金を混ぜると、振動・水分によるフレッティング腐食や異種金属腐食で接触抵抗が上がる）。</t>
  </si>
  <si>
    <t xml:space="preserve">・①③の引き出し長さとクランプ数は仮定値。「条件」シートで実寸に変更すると数量が更新される。</t>
  </si>
  <si>
    <r>
      <rPr>
        <b val="true"/>
        <sz val="14"/>
        <rFont val="Arial"/>
        <family val="0"/>
        <charset val="1"/>
      </rPr>
      <t xml:space="preserve">4</t>
    </r>
    <r>
      <rPr>
        <b val="true"/>
        <sz val="14"/>
        <rFont val="Noto Sans CJK SC"/>
        <family val="2"/>
      </rPr>
      <t xml:space="preserve">極ハーネス＋</t>
    </r>
    <r>
      <rPr>
        <b val="true"/>
        <sz val="14"/>
        <rFont val="Arial"/>
        <family val="0"/>
        <charset val="1"/>
      </rPr>
      <t xml:space="preserve">14</t>
    </r>
    <r>
      <rPr>
        <b val="true"/>
        <sz val="14"/>
        <rFont val="Noto Sans CJK SC"/>
        <family val="2"/>
      </rPr>
      <t xml:space="preserve">極ハーネス 中継コネクタ ピン配置（両方の中継位置で共通）</t>
    </r>
  </si>
  <si>
    <t xml:space="preserve">位置は配置案。実際のピン番号はハウジングの図面で確認し、「実際のピン番号」列に記入してください。</t>
  </si>
  <si>
    <t xml:space="preserve">列</t>
  </si>
  <si>
    <t xml:space="preserve">段</t>
  </si>
  <si>
    <t xml:space="preserve">信号</t>
  </si>
  <si>
    <t xml:space="preserve">AWG</t>
  </si>
  <si>
    <t xml:space="preserve">実際のピン番号</t>
  </si>
  <si>
    <t xml:space="preserve">備考</t>
  </si>
  <si>
    <r>
      <rPr>
        <sz val="10"/>
        <rFont val="Arial"/>
        <family val="0"/>
        <charset val="1"/>
      </rPr>
      <t xml:space="preserve">4</t>
    </r>
    <r>
      <rPr>
        <sz val="10"/>
        <rFont val="Noto Sans CJK SC"/>
        <family val="2"/>
      </rPr>
      <t xml:space="preserve">極</t>
    </r>
  </si>
  <si>
    <t xml:space="preserve">上</t>
  </si>
  <si>
    <t xml:space="preserve">右M＋</t>
  </si>
  <si>
    <t xml:space="preserve">エーモンAV1.25（赤）</t>
  </si>
  <si>
    <t xml:space="preserve">1.25sq</t>
  </si>
  <si>
    <r>
      <rPr>
        <sz val="10"/>
        <rFont val="Arial"/>
        <family val="0"/>
        <charset val="1"/>
      </rPr>
      <t xml:space="preserve">16AWG</t>
    </r>
    <r>
      <rPr>
        <sz val="10"/>
        <rFont val="Noto Sans CJK SC"/>
        <family val="2"/>
      </rPr>
      <t xml:space="preserve">用</t>
    </r>
  </si>
  <si>
    <t xml:space="preserve">右モーターのツイストペア（赤＋／黒−）。両端にマーカー「R」</t>
  </si>
  <si>
    <t xml:space="preserve">下</t>
  </si>
  <si>
    <t xml:space="preserve">左M＋</t>
  </si>
  <si>
    <t xml:space="preserve">左モーターのツイストペア（赤＋／黒−）。両端にマーカー「L」</t>
  </si>
  <si>
    <t xml:space="preserve">右M−</t>
  </si>
  <si>
    <t xml:space="preserve">エーモンAV1.25（黒）</t>
  </si>
  <si>
    <t xml:space="preserve">右モーターのツイストペア。マーカー「R」</t>
  </si>
  <si>
    <t xml:space="preserve">左M−</t>
  </si>
  <si>
    <t xml:space="preserve">左モーターのツイストペア。マーカー「L」</t>
  </si>
  <si>
    <r>
      <rPr>
        <sz val="10"/>
        <rFont val="Arial"/>
        <family val="0"/>
        <charset val="1"/>
      </rPr>
      <t xml:space="preserve">14</t>
    </r>
    <r>
      <rPr>
        <sz val="10"/>
        <rFont val="Noto Sans CJK SC"/>
        <family val="2"/>
      </rPr>
      <t xml:space="preserve">極</t>
    </r>
  </si>
  <si>
    <t xml:space="preserve">5V</t>
  </si>
  <si>
    <t xml:space="preserve">SX(NE) 0.5sq×7P</t>
  </si>
  <si>
    <t xml:space="preserve">0.5sq</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</si>
  <si>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</si>
  <si>
    <t xml:space="preserve">ペア3。BEC（後部）からPixhawk等（前部）へ</t>
  </si>
  <si>
    <t xml:space="preserve">GND</t>
  </si>
  <si>
    <t xml:space="preserve">ペア3の相手線。5V電流の戻り</t>
  </si>
  <si>
    <r>
      <rPr>
        <sz val="10"/>
        <rFont val="Arial"/>
        <family val="0"/>
        <charset val="1"/>
      </rPr>
      <t xml:space="preserve">5V</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</si>
  <si>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ペア7。電圧降下を半減するため列4の5Vと両端で並列接続</t>
  </si>
  <si>
    <r>
      <rPr>
        <sz val="10"/>
        <rFont val="Arial"/>
        <family val="0"/>
        <charset val="1"/>
      </rPr>
      <t xml:space="preserve">GND</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</si>
  <si>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ペア7の相手線。列4のGNDと両端で並列接続</t>
  </si>
  <si>
    <t xml:space="preserve">CURRENT</t>
  </si>
  <si>
    <t xml:space="preserve">ペア6。0〜3.3Vアナログ。25Vの線から離して配置</t>
  </si>
  <si>
    <t xml:space="preserve">VOLTAGE</t>
  </si>
  <si>
    <t xml:space="preserve">ペア6の相手線。0〜3.3Vアナログ。基準は信号GND</t>
  </si>
  <si>
    <r>
      <rPr>
        <sz val="10"/>
        <rFont val="Arial"/>
        <family val="0"/>
        <charset val="1"/>
      </rPr>
      <t xml:space="preserve">RC</t>
    </r>
    <r>
      <rPr>
        <sz val="10"/>
        <rFont val="Noto Sans CJK SC"/>
        <family val="2"/>
      </rPr>
      <t xml:space="preserve">右</t>
    </r>
  </si>
  <si>
    <t xml:space="preserve">ペア1</t>
  </si>
  <si>
    <r>
      <rPr>
        <sz val="10"/>
        <rFont val="Arial"/>
        <family val="0"/>
        <charset val="1"/>
      </rPr>
      <t xml:space="preserve">RC</t>
    </r>
    <r>
      <rPr>
        <sz val="10"/>
        <rFont val="Noto Sans CJK SC"/>
        <family val="2"/>
      </rPr>
      <t xml:space="preserve">左</t>
    </r>
  </si>
  <si>
    <t xml:space="preserve">ペア2</t>
  </si>
  <si>
    <t xml:space="preserve">信号GND</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</si>
  <si>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r>
      <rPr>
        <sz val="10"/>
        <rFont val="Arial"/>
        <family val="0"/>
        <charset val="1"/>
      </rPr>
      <t xml:space="preserve">2</t>
    </r>
    <r>
      <rPr>
        <sz val="10"/>
        <rFont val="Noto Sans CJK SC"/>
        <family val="2"/>
      </rPr>
      <t xml:space="preserve">本圧着）</t>
    </r>
  </si>
  <si>
    <t xml:space="preserve">ペア1・2の相手線をダブル圧着。RC信号とアナログ信号の基準</t>
  </si>
  <si>
    <t xml:space="preserve">ドレイン</t>
  </si>
  <si>
    <t xml:space="preserve">接地はMDDS30側（③の端）のみ。①の端では接続しない</t>
  </si>
  <si>
    <t xml:space="preserve">SW COM</t>
  </si>
  <si>
    <t xml:space="preserve">ペア4。7S LiPo電圧、直列抵抗で電流制限</t>
  </si>
  <si>
    <t xml:space="preserve">SW NC</t>
  </si>
  <si>
    <t xml:space="preserve">ペア4の相手線。NC開で停止（外れ・断線も停止側）。受け側にフィルタ／デバウンス</t>
  </si>
  <si>
    <r>
      <rPr>
        <sz val="10"/>
        <rFont val="Arial"/>
        <family val="0"/>
        <charset val="1"/>
      </rPr>
      <t xml:space="preserve">LED</t>
    </r>
    <r>
      <rPr>
        <sz val="10"/>
        <rFont val="Noto Sans CJK SC"/>
        <family val="2"/>
      </rPr>
      <t xml:space="preserve">＋</t>
    </r>
  </si>
  <si>
    <t xml:space="preserve">ペア5。7S LiPo電圧、ポリスイッチで保護。最も端に配置</t>
  </si>
  <si>
    <t xml:space="preserve">LED−</t>
  </si>
  <si>
    <t xml:space="preserve">ペア5の相手線。電源基板GNDへ専用線で戻す</t>
  </si>
  <si>
    <t xml:space="preserve">性別（4極・14極とも）：③後部ユニット＝メス（5557）、②ハーネス後部側＝オス（5559）、②ハーネス前部側＝メス（5557）、①前部ユニット＝オス（5559）</t>
  </si>
  <si>
    <r>
      <rPr>
        <sz val="10"/>
        <rFont val="Arial"/>
        <family val="0"/>
        <charset val="1"/>
      </rPr>
      <t xml:space="preserve">4</t>
    </r>
    <r>
      <rPr>
        <sz val="10"/>
        <rFont val="Noto Sans CJK SC"/>
        <family val="2"/>
      </rPr>
      <t xml:space="preserve">極ハーネス（モーター）と</t>
    </r>
    <r>
      <rPr>
        <sz val="10"/>
        <rFont val="Arial"/>
        <family val="0"/>
        <charset val="1"/>
      </rPr>
      <t xml:space="preserve">14</t>
    </r>
    <r>
      <rPr>
        <sz val="10"/>
        <rFont val="Noto Sans CJK SC"/>
        <family val="2"/>
      </rPr>
      <t xml:space="preserve">極ハーネス（信号）は別々に配線し、数</t>
    </r>
    <r>
      <rPr>
        <sz val="10"/>
        <rFont val="Arial"/>
        <family val="0"/>
        <charset val="1"/>
      </rPr>
      <t xml:space="preserve">cm</t>
    </r>
    <r>
      <rPr>
        <sz val="10"/>
        <rFont val="Noto Sans CJK SC"/>
        <family val="2"/>
      </rPr>
      <t xml:space="preserve">離す（交差は直角に）。両端に「</t>
    </r>
    <r>
      <rPr>
        <sz val="10"/>
        <rFont val="Arial"/>
        <family val="0"/>
        <charset val="1"/>
      </rPr>
      <t xml:space="preserve">MOTOR</t>
    </r>
    <r>
      <rPr>
        <sz val="10"/>
        <rFont val="Noto Sans CJK SC"/>
        <family val="2"/>
      </rPr>
      <t xml:space="preserve">」「</t>
    </r>
    <r>
      <rPr>
        <sz val="10"/>
        <rFont val="Arial"/>
        <family val="0"/>
        <charset val="1"/>
      </rPr>
      <t xml:space="preserve">SIGNAL</t>
    </r>
    <r>
      <rPr>
        <sz val="10"/>
        <rFont val="Noto Sans CJK SC"/>
        <family val="2"/>
      </rPr>
      <t xml:space="preserve">」のラベルを付け、挿し忘れを防ぐ（大きさが違うため差し違えは起きない）</t>
    </r>
  </si>
  <si>
    <t xml:space="preserve">モーター電力と信号はハーネスごと分離されるため、20極案の空き列（緩衝）は不要</t>
  </si>
  <si>
    <r>
      <rPr>
        <sz val="10"/>
        <rFont val="Arial"/>
        <family val="0"/>
        <charset val="1"/>
      </rPr>
      <t xml:space="preserve">5V</t>
    </r>
    <r>
      <rPr>
        <sz val="10"/>
        <rFont val="Noto Sans CJK SC"/>
        <family val="2"/>
      </rPr>
      <t xml:space="preserve">・</t>
    </r>
    <r>
      <rPr>
        <sz val="10"/>
        <rFont val="Arial"/>
        <family val="0"/>
        <charset val="1"/>
      </rPr>
      <t xml:space="preserve">GND</t>
    </r>
    <r>
      <rPr>
        <sz val="10"/>
        <rFont val="Noto Sans CJK SC"/>
        <family val="2"/>
      </rPr>
      <t xml:space="preserve">は</t>
    </r>
    <r>
      <rPr>
        <sz val="10"/>
        <rFont val="Arial"/>
        <family val="0"/>
        <charset val="1"/>
      </rPr>
      <t xml:space="preserve">2</t>
    </r>
    <r>
      <rPr>
        <sz val="10"/>
        <rFont val="Noto Sans CJK SC"/>
        <family val="2"/>
      </rPr>
      <t xml:space="preserve">本ずつ使い、①③の機器側（</t>
    </r>
    <r>
      <rPr>
        <sz val="10"/>
        <rFont val="Arial"/>
        <family val="0"/>
        <charset val="1"/>
      </rPr>
      <t xml:space="preserve">PM02</t>
    </r>
    <r>
      <rPr>
        <sz val="10"/>
        <rFont val="Noto Sans CJK SC"/>
        <family val="2"/>
      </rPr>
      <t xml:space="preserve">／制御基板）でそれぞれ合流させる</t>
    </r>
  </si>
  <si>
    <t xml:space="preserve">色：オレンジ＝モーター電力、灰＝電源・GND、紫＝アナログ（0〜3.3V）、緑＝RC信号、ピンク＝7S LiPo電圧（電流制限あり）</t>
  </si>
  <si>
    <t xml:space="preserve">MDDS30側（③）：RC右＝ペア1→RC1のSIG／GND、RC左＝ペア2→RC2のSIG／GND。手前でAWG24に継いでDupont 1×3（中央5Vは空き）。ドレインはRC1かRC2の一方のGNDへ</t>
  </si>
  <si>
    <t xml:space="preserve">ハーネス部品 購入リスト：計算条件</t>
  </si>
  <si>
    <t xml:space="preserve">黄色のセル（青字）が入力欄です。値を変えると「購入リスト」の数量が自動で再計算されます。</t>
  </si>
  <si>
    <t xml:space="preserve">項目</t>
  </si>
  <si>
    <t xml:space="preserve">値</t>
  </si>
  <si>
    <t xml:space="preserve">根拠・備考</t>
  </si>
  <si>
    <t xml:space="preserve">中継コネクタ位置の数（各サイズとも）</t>
  </si>
  <si>
    <t xml:space="preserve">③-②間、②-①間の2か所。4極・14極それぞれ同数</t>
  </si>
  <si>
    <r>
      <rPr>
        <sz val="11"/>
        <rFont val="Arial"/>
        <family val="0"/>
        <charset val="1"/>
      </rPr>
      <t xml:space="preserve">1</t>
    </r>
    <r>
      <rPr>
        <sz val="11"/>
        <rFont val="Noto Sans CJK SC"/>
        <family val="2"/>
      </rPr>
      <t xml:space="preserve">コネクタあたりのモーター用ピン数（</t>
    </r>
    <r>
      <rPr>
        <sz val="11"/>
        <rFont val="Arial"/>
        <family val="0"/>
        <charset val="1"/>
      </rPr>
      <t xml:space="preserve">AWG16</t>
    </r>
    <r>
      <rPr>
        <sz val="11"/>
        <rFont val="Noto Sans CJK SC"/>
        <family val="2"/>
      </rPr>
      <t xml:space="preserve">）</t>
    </r>
  </si>
  <si>
    <t xml:space="preserve">右M＋、右M−、左M＋、左M−</t>
  </si>
  <si>
    <r>
      <rPr>
        <sz val="11"/>
        <rFont val="Arial"/>
        <family val="0"/>
        <charset val="1"/>
      </rPr>
      <t xml:space="preserve">1</t>
    </r>
    <r>
      <rPr>
        <sz val="11"/>
        <rFont val="Noto Sans CJK SC"/>
        <family val="2"/>
      </rPr>
      <t xml:space="preserve">コネクタあたりの信号・</t>
    </r>
    <r>
      <rPr>
        <sz val="11"/>
        <rFont val="Arial"/>
        <family val="0"/>
        <charset val="1"/>
      </rPr>
      <t xml:space="preserve">5V</t>
    </r>
    <r>
      <rPr>
        <sz val="11"/>
        <rFont val="Noto Sans CJK SC"/>
        <family val="2"/>
      </rPr>
      <t xml:space="preserve">用ピン数（</t>
    </r>
    <r>
      <rPr>
        <sz val="11"/>
        <rFont val="Arial"/>
        <family val="0"/>
        <charset val="1"/>
      </rPr>
      <t xml:space="preserve">AWG20</t>
    </r>
    <r>
      <rPr>
        <sz val="11"/>
        <rFont val="Noto Sans CJK SC"/>
        <family val="2"/>
      </rPr>
      <t xml:space="preserve">）</t>
    </r>
  </si>
  <si>
    <r>
      <rPr>
        <sz val="10"/>
        <rFont val="Arial"/>
        <family val="0"/>
        <charset val="1"/>
      </rPr>
      <t xml:space="preserve">5V×2</t>
    </r>
    <r>
      <rPr>
        <sz val="10"/>
        <rFont val="Noto Sans CJK SC"/>
        <family val="2"/>
      </rPr>
      <t xml:space="preserve">、</t>
    </r>
    <r>
      <rPr>
        <sz val="10"/>
        <rFont val="Arial"/>
        <family val="0"/>
        <charset val="1"/>
      </rPr>
      <t xml:space="preserve">GND×2</t>
    </r>
    <r>
      <rPr>
        <sz val="10"/>
        <rFont val="Noto Sans CJK SC"/>
        <family val="2"/>
      </rPr>
      <t xml:space="preserve">、</t>
    </r>
    <r>
      <rPr>
        <sz val="10"/>
        <rFont val="Arial"/>
        <family val="0"/>
        <charset val="1"/>
      </rPr>
      <t xml:space="preserve">CURRENT</t>
    </r>
    <r>
      <rPr>
        <sz val="10"/>
        <rFont val="Noto Sans CJK SC"/>
        <family val="2"/>
      </rPr>
      <t xml:space="preserve">、</t>
    </r>
    <r>
      <rPr>
        <sz val="10"/>
        <rFont val="Arial"/>
        <family val="0"/>
        <charset val="1"/>
      </rPr>
      <t xml:space="preserve">VOLTAGE</t>
    </r>
    <r>
      <rPr>
        <sz val="10"/>
        <rFont val="Noto Sans CJK SC"/>
        <family val="2"/>
      </rPr>
      <t xml:space="preserve">、</t>
    </r>
    <r>
      <rPr>
        <sz val="10"/>
        <rFont val="Arial"/>
        <family val="0"/>
        <charset val="1"/>
      </rPr>
      <t xml:space="preserve">RC</t>
    </r>
    <r>
      <rPr>
        <sz val="10"/>
        <rFont val="Noto Sans CJK SC"/>
        <family val="2"/>
      </rPr>
      <t xml:space="preserve">右、</t>
    </r>
    <r>
      <rPr>
        <sz val="10"/>
        <rFont val="Arial"/>
        <family val="0"/>
        <charset val="1"/>
      </rPr>
      <t xml:space="preserve">RC</t>
    </r>
    <r>
      <rPr>
        <sz val="10"/>
        <rFont val="Noto Sans CJK SC"/>
        <family val="2"/>
      </rPr>
      <t xml:space="preserve">左、信号</t>
    </r>
    <r>
      <rPr>
        <sz val="10"/>
        <rFont val="Arial"/>
        <family val="0"/>
        <charset val="1"/>
      </rPr>
      <t xml:space="preserve">GND</t>
    </r>
    <r>
      <rPr>
        <sz val="10"/>
        <rFont val="Noto Sans CJK SC"/>
        <family val="2"/>
      </rPr>
      <t xml:space="preserve">、ドレイン、</t>
    </r>
    <r>
      <rPr>
        <sz val="10"/>
        <rFont val="Arial"/>
        <family val="0"/>
        <charset val="1"/>
      </rPr>
      <t xml:space="preserve">SW COM</t>
    </r>
    <r>
      <rPr>
        <sz val="10"/>
        <rFont val="Noto Sans CJK SC"/>
        <family val="2"/>
      </rPr>
      <t xml:space="preserve">、</t>
    </r>
    <r>
      <rPr>
        <sz val="10"/>
        <rFont val="Arial"/>
        <family val="0"/>
        <charset val="1"/>
      </rPr>
      <t xml:space="preserve">SW NC</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LED−</t>
    </r>
  </si>
  <si>
    <t xml:space="preserve">端子の購入倍率（練習・試験・予備分）</t>
  </si>
  <si>
    <t xml:space="preserve">倍</t>
  </si>
  <si>
    <t xml:space="preserve">圧着の練習と引っ張り試験用の余裕</t>
  </si>
  <si>
    <t xml:space="preserve">②ハーネスの長さ</t>
  </si>
  <si>
    <t xml:space="preserve">ユーザー提示の50〜60cmの上限</t>
  </si>
  <si>
    <t xml:space="preserve">①前部ユニットの引き出し長さ</t>
  </si>
  <si>
    <t xml:space="preserve">仮定値。実寸に合わせて変更してください</t>
  </si>
  <si>
    <t xml:space="preserve">③後部ユニットの引き出し長さ</t>
  </si>
  <si>
    <t xml:space="preserve">電線の購入倍率（試作・作り直し分）</t>
  </si>
  <si>
    <t xml:space="preserve">作り直しに備えた余裕</t>
  </si>
  <si>
    <t xml:space="preserve">モーター線の本数</t>
  </si>
  <si>
    <t xml:space="preserve">左右×＋/−</t>
  </si>
  <si>
    <t xml:space="preserve">編組スリーブの長さ倍率</t>
  </si>
  <si>
    <t xml:space="preserve">端部処理・取り回し分</t>
  </si>
  <si>
    <t xml:space="preserve">ケーブルクランプの数</t>
  </si>
  <si>
    <t xml:space="preserve">個</t>
  </si>
  <si>
    <t xml:space="preserve">仮定値。各コネクタの前後＋途中2か所</t>
  </si>
  <si>
    <r>
      <rPr>
        <b val="true"/>
        <sz val="11"/>
        <rFont val="Arial"/>
        <family val="0"/>
        <charset val="1"/>
      </rPr>
      <t xml:space="preserve">1</t>
    </r>
    <r>
      <rPr>
        <b val="true"/>
        <sz val="11"/>
        <rFont val="Noto Sans CJK SC"/>
        <family val="2"/>
      </rPr>
      <t xml:space="preserve">区間あたりの電線長（①＋②＋③）</t>
    </r>
  </si>
</sst>
</file>

<file path=xl/styles.xml><?xml version="1.0" encoding="utf-8"?>
<styleSheet xmlns="http://schemas.openxmlformats.org/spreadsheetml/2006/main">
  <numFmts count="3">
    <numFmt numFmtId="164" formatCode="General"/>
    <numFmt numFmtId="165" formatCode="General"/>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4"/>
      <name val="Noto Sans CJK SC"/>
      <family val="2"/>
      <charset val="1"/>
    </font>
    <font>
      <sz val="10"/>
      <name val="Noto Sans CJK SC"/>
      <family val="2"/>
      <charset val="1"/>
    </font>
    <font>
      <b val="true"/>
      <sz val="11"/>
      <name val="Noto Sans CJK SC"/>
      <family val="2"/>
      <charset val="1"/>
    </font>
    <font>
      <sz val="10"/>
      <name val="Arial"/>
      <family val="0"/>
      <charset val="1"/>
    </font>
    <font>
      <sz val="10"/>
      <name val="Noto Sans CJK SC"/>
      <family val="2"/>
    </font>
    <font>
      <b val="true"/>
      <sz val="11"/>
      <name val="Arial"/>
      <family val="0"/>
      <charset val="1"/>
    </font>
    <font>
      <b val="true"/>
      <sz val="10"/>
      <name val="Arial"/>
      <family val="0"/>
      <charset val="1"/>
    </font>
    <font>
      <sz val="11"/>
      <name val="Noto Sans CJK SC"/>
      <family val="2"/>
      <charset val="1"/>
    </font>
    <font>
      <b val="true"/>
      <sz val="14"/>
      <name val="Arial"/>
      <family val="0"/>
      <charset val="1"/>
    </font>
    <font>
      <b val="true"/>
      <sz val="14"/>
      <name val="Noto Sans CJK SC"/>
      <family val="2"/>
    </font>
    <font>
      <sz val="11"/>
      <color rgb="FF0000FF"/>
      <name val="Arial"/>
      <family val="0"/>
      <charset val="1"/>
    </font>
    <font>
      <sz val="11"/>
      <name val="Arial"/>
      <family val="0"/>
      <charset val="1"/>
    </font>
    <font>
      <sz val="11"/>
      <name val="Noto Sans CJK SC"/>
      <family val="2"/>
    </font>
    <font>
      <b val="true"/>
      <sz val="11"/>
      <name val="Noto Sans CJK SC"/>
      <family val="2"/>
    </font>
  </fonts>
  <fills count="10">
    <fill>
      <patternFill patternType="none"/>
    </fill>
    <fill>
      <patternFill patternType="gray125"/>
    </fill>
    <fill>
      <patternFill patternType="solid">
        <fgColor rgb="FFD9E1F2"/>
        <bgColor rgb="FFE2D9F3"/>
      </patternFill>
    </fill>
    <fill>
      <patternFill patternType="solid">
        <fgColor rgb="FFFFFF00"/>
        <bgColor rgb="FFFFFF00"/>
      </patternFill>
    </fill>
    <fill>
      <patternFill patternType="solid">
        <fgColor rgb="FFF2F2F2"/>
        <bgColor rgb="FFEDEDED"/>
      </patternFill>
    </fill>
    <fill>
      <patternFill patternType="solid">
        <fgColor rgb="FFFBE2D5"/>
        <bgColor rgb="FFFCE4EC"/>
      </patternFill>
    </fill>
    <fill>
      <patternFill patternType="solid">
        <fgColor rgb="FFEDEDED"/>
        <bgColor rgb="FFF2F2F2"/>
      </patternFill>
    </fill>
    <fill>
      <patternFill patternType="solid">
        <fgColor rgb="FFE2D9F3"/>
        <bgColor rgb="FFD9E1F2"/>
      </patternFill>
    </fill>
    <fill>
      <patternFill patternType="solid">
        <fgColor rgb="FFD9F2EC"/>
        <bgColor rgb="FFEDEDED"/>
      </patternFill>
    </fill>
    <fill>
      <patternFill patternType="solid">
        <fgColor rgb="FFFCE4EC"/>
        <bgColor rgb="FFFBE2D5"/>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9F2EC"/>
      <rgbColor rgb="FF660066"/>
      <rgbColor rgb="FFFF8080"/>
      <rgbColor rgb="FF0066CC"/>
      <rgbColor rgb="FFE2D9F3"/>
      <rgbColor rgb="FF000080"/>
      <rgbColor rgb="FFFF00FF"/>
      <rgbColor rgb="FFFFFF00"/>
      <rgbColor rgb="FF00FFFF"/>
      <rgbColor rgb="FF800080"/>
      <rgbColor rgb="FF800000"/>
      <rgbColor rgb="FF008080"/>
      <rgbColor rgb="FF0000FF"/>
      <rgbColor rgb="FF00CCFF"/>
      <rgbColor rgb="FFD9E1F2"/>
      <rgbColor rgb="FFCCFFCC"/>
      <rgbColor rgb="FFFCE4EC"/>
      <rgbColor rgb="FF99CCFF"/>
      <rgbColor rgb="FFFF99CC"/>
      <rgbColor rgb="FFCC99FF"/>
      <rgbColor rgb="FFFBE2D5"/>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13</xdr:col>
      <xdr:colOff>241560</xdr:colOff>
      <xdr:row>24</xdr:row>
      <xdr:rowOff>190080</xdr:rowOff>
    </xdr:to>
    <xdr:pic>
      <xdr:nvPicPr>
        <xdr:cNvPr id="0" name="Image 1" descr="Picture"/>
        <xdr:cNvPicPr/>
      </xdr:nvPicPr>
      <xdr:blipFill>
        <a:blip r:embed="rId1"/>
        <a:stretch/>
      </xdr:blipFill>
      <xdr:spPr>
        <a:xfrm>
          <a:off x="0" y="0"/>
          <a:ext cx="8191080" cy="4762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0"/>
  </cols>
  <sheetData>
    <row r="1" customFormat="false" ht="21" hidden="false" customHeight="true" outlineLevel="0" collapsed="false">
      <c r="A1" s="2" t="s">
        <v>0</v>
      </c>
    </row>
    <row r="2" customFormat="false" ht="15" hidden="false" customHeight="true" outlineLevel="0" collapsed="false">
      <c r="A2" s="3" t="s">
        <v>1</v>
      </c>
    </row>
    <row r="4" customFormat="false" ht="16.5" hidden="false" customHeight="true" outlineLevel="0" collapsed="false">
      <c r="A4" s="4" t="s">
        <v>2</v>
      </c>
      <c r="B4" s="5" t="s">
        <v>3</v>
      </c>
    </row>
    <row r="5" customFormat="false" ht="32.25" hidden="false" customHeight="true" outlineLevel="0" collapsed="false">
      <c r="A5" s="4" t="s">
        <v>4</v>
      </c>
      <c r="B5" s="5" t="s">
        <v>5</v>
      </c>
    </row>
    <row r="6" customFormat="false" ht="16.5" hidden="false" customHeight="true" outlineLevel="0" collapsed="false">
      <c r="A6" s="4" t="s">
        <v>6</v>
      </c>
      <c r="B6" s="5" t="s">
        <v>7</v>
      </c>
    </row>
    <row r="7" customFormat="false" ht="16.5" hidden="false" customHeight="true" outlineLevel="0" collapsed="false">
      <c r="A7" s="4" t="s">
        <v>8</v>
      </c>
      <c r="B7" s="5" t="s">
        <v>9</v>
      </c>
    </row>
    <row r="8" customFormat="false" ht="16.5" hidden="false" customHeight="true" outlineLevel="0" collapsed="false">
      <c r="A8" s="4" t="s">
        <v>10</v>
      </c>
      <c r="B8" s="6" t="s">
        <v>11</v>
      </c>
    </row>
    <row r="9" customFormat="false" ht="29.25" hidden="false" customHeight="true" outlineLevel="0" collapsed="false">
      <c r="A9" s="4" t="s">
        <v>12</v>
      </c>
      <c r="B9" s="5" t="s">
        <v>13</v>
      </c>
    </row>
    <row r="10" customFormat="false" ht="29.25" hidden="false" customHeight="true" outlineLevel="0" collapsed="false">
      <c r="A10" s="4" t="s">
        <v>14</v>
      </c>
      <c r="B10" s="6" t="s">
        <v>15</v>
      </c>
    </row>
    <row r="11" customFormat="false" ht="29.25" hidden="false" customHeight="true" outlineLevel="0" collapsed="false">
      <c r="A11" s="4" t="s">
        <v>16</v>
      </c>
      <c r="B11" s="6" t="s">
        <v>17</v>
      </c>
    </row>
    <row r="12" customFormat="false" ht="16.5" hidden="false" customHeight="true" outlineLevel="0" collapsed="false">
      <c r="A12" s="4" t="s">
        <v>18</v>
      </c>
      <c r="B12" s="5" t="s">
        <v>19</v>
      </c>
    </row>
    <row r="13" customFormat="false" ht="29.25" hidden="false" customHeight="true" outlineLevel="0" collapsed="false">
      <c r="A13" s="4" t="s">
        <v>20</v>
      </c>
      <c r="B13" s="6" t="s">
        <v>21</v>
      </c>
    </row>
    <row r="14" customFormat="false" ht="29.85" hidden="false" customHeight="false" outlineLevel="0" collapsed="false">
      <c r="A14" s="4" t="s">
        <v>22</v>
      </c>
      <c r="B14" s="6"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30"/>
    <col collapsed="false" customWidth="true" hidden="false" outlineLevel="0" max="4" min="4" style="1" width="16"/>
    <col collapsed="false" customWidth="true" hidden="false" outlineLevel="0" max="5" min="5" style="1" width="26"/>
    <col collapsed="false" customWidth="true" hidden="false" outlineLevel="0" max="6" min="6" style="1" width="34"/>
    <col collapsed="false" customWidth="true" hidden="false" outlineLevel="0" max="8" min="7" style="1" width="8"/>
    <col collapsed="false" customWidth="true" hidden="false" outlineLevel="0" max="9" min="9" style="1" width="6"/>
    <col collapsed="false" customWidth="true" hidden="false" outlineLevel="0" max="10" min="10" style="1" width="44"/>
    <col collapsed="false" customWidth="true" hidden="false" outlineLevel="0" max="12" min="11" style="1" width="9"/>
    <col collapsed="false" customWidth="true" hidden="false" outlineLevel="0" max="13" min="13" style="1" width="26"/>
  </cols>
  <sheetData>
    <row r="1" customFormat="false" ht="21" hidden="false" customHeight="true" outlineLevel="0" collapsed="false">
      <c r="A1" s="2" t="s">
        <v>24</v>
      </c>
    </row>
    <row r="2" customFormat="false" ht="15" hidden="false" customHeight="true" outlineLevel="0" collapsed="false">
      <c r="A2" s="3" t="s">
        <v>25</v>
      </c>
    </row>
    <row r="4" customFormat="false" ht="16.5" hidden="false" customHeight="true" outlineLevel="0" collapsed="false">
      <c r="A4" s="7" t="s">
        <v>26</v>
      </c>
      <c r="B4" s="8" t="s">
        <v>27</v>
      </c>
      <c r="C4" s="8" t="s">
        <v>28</v>
      </c>
      <c r="D4" s="8" t="s">
        <v>29</v>
      </c>
      <c r="E4" s="8" t="s">
        <v>30</v>
      </c>
      <c r="F4" s="8" t="s">
        <v>31</v>
      </c>
      <c r="G4" s="8" t="s">
        <v>32</v>
      </c>
      <c r="H4" s="8" t="s">
        <v>33</v>
      </c>
      <c r="I4" s="8" t="s">
        <v>34</v>
      </c>
      <c r="J4" s="8" t="s">
        <v>35</v>
      </c>
      <c r="K4" s="8" t="s">
        <v>36</v>
      </c>
      <c r="L4" s="8" t="s">
        <v>37</v>
      </c>
      <c r="M4" s="8" t="s">
        <v>38</v>
      </c>
    </row>
    <row r="5" customFormat="false" ht="29.25" hidden="false" customHeight="true" outlineLevel="0" collapsed="false">
      <c r="A5" s="5" t="s">
        <v>39</v>
      </c>
      <c r="B5" s="6" t="s">
        <v>2</v>
      </c>
      <c r="C5" s="6" t="s">
        <v>40</v>
      </c>
      <c r="D5" s="6" t="s">
        <v>41</v>
      </c>
      <c r="E5" s="5" t="s">
        <v>42</v>
      </c>
      <c r="F5" s="5" t="s">
        <v>43</v>
      </c>
      <c r="G5" s="6" t="n">
        <f aca="false">条件!$B$5</f>
        <v>2</v>
      </c>
      <c r="H5" s="9" t="n">
        <f aca="false">ROUNDUP(G5/10,0)</f>
        <v>1</v>
      </c>
      <c r="I5" s="6" t="s">
        <v>44</v>
      </c>
      <c r="J5" s="6" t="s">
        <v>45</v>
      </c>
      <c r="K5" s="6" t="s">
        <v>46</v>
      </c>
      <c r="L5" s="6" t="s">
        <v>47</v>
      </c>
      <c r="M5" s="10" t="s">
        <v>48</v>
      </c>
    </row>
    <row r="6" customFormat="false" ht="29.25" hidden="false" customHeight="true" outlineLevel="0" collapsed="false">
      <c r="A6" s="6" t="s">
        <v>49</v>
      </c>
      <c r="B6" s="6" t="s">
        <v>2</v>
      </c>
      <c r="C6" s="6" t="s">
        <v>50</v>
      </c>
      <c r="D6" s="6" t="s">
        <v>41</v>
      </c>
      <c r="E6" s="5" t="s">
        <v>51</v>
      </c>
      <c r="F6" s="5" t="s">
        <v>52</v>
      </c>
      <c r="G6" s="6" t="n">
        <f aca="false">条件!$B$5</f>
        <v>2</v>
      </c>
      <c r="H6" s="9" t="n">
        <f aca="false">ROUNDUP(G6/10,0)</f>
        <v>1</v>
      </c>
      <c r="I6" s="6" t="s">
        <v>44</v>
      </c>
      <c r="J6" s="6" t="s">
        <v>53</v>
      </c>
      <c r="K6" s="6" t="s">
        <v>46</v>
      </c>
      <c r="L6" s="6" t="s">
        <v>47</v>
      </c>
      <c r="M6" s="10" t="s">
        <v>48</v>
      </c>
    </row>
    <row r="7" customFormat="false" ht="29.25" hidden="false" customHeight="true" outlineLevel="0" collapsed="false">
      <c r="A7" s="6" t="s">
        <v>54</v>
      </c>
      <c r="B7" s="6" t="s">
        <v>2</v>
      </c>
      <c r="C7" s="6" t="s">
        <v>55</v>
      </c>
      <c r="D7" s="6" t="s">
        <v>41</v>
      </c>
      <c r="E7" s="5" t="s">
        <v>56</v>
      </c>
      <c r="F7" s="5" t="s">
        <v>57</v>
      </c>
      <c r="G7" s="6" t="n">
        <f aca="false">条件!$B$5</f>
        <v>2</v>
      </c>
      <c r="H7" s="9" t="n">
        <f aca="false">ROUNDUP(G7/10,0)</f>
        <v>1</v>
      </c>
      <c r="I7" s="6" t="s">
        <v>44</v>
      </c>
      <c r="J7" s="6" t="s">
        <v>58</v>
      </c>
      <c r="K7" s="6" t="s">
        <v>46</v>
      </c>
      <c r="L7" s="6" t="s">
        <v>47</v>
      </c>
      <c r="M7" s="10" t="s">
        <v>48</v>
      </c>
    </row>
    <row r="8" customFormat="false" ht="29.25" hidden="false" customHeight="true" outlineLevel="0" collapsed="false">
      <c r="A8" s="6" t="s">
        <v>59</v>
      </c>
      <c r="B8" s="6" t="s">
        <v>2</v>
      </c>
      <c r="C8" s="6" t="s">
        <v>60</v>
      </c>
      <c r="D8" s="6" t="s">
        <v>41</v>
      </c>
      <c r="E8" s="5" t="s">
        <v>61</v>
      </c>
      <c r="F8" s="5" t="s">
        <v>62</v>
      </c>
      <c r="G8" s="6" t="n">
        <f aca="false">条件!$B$5</f>
        <v>2</v>
      </c>
      <c r="H8" s="9" t="n">
        <f aca="false">ROUNDUP(G8/10,0)</f>
        <v>1</v>
      </c>
      <c r="I8" s="6" t="s">
        <v>44</v>
      </c>
      <c r="J8" s="6" t="s">
        <v>63</v>
      </c>
      <c r="K8" s="6" t="s">
        <v>46</v>
      </c>
      <c r="L8" s="6" t="s">
        <v>47</v>
      </c>
      <c r="M8" s="10" t="s">
        <v>48</v>
      </c>
    </row>
    <row r="9" customFormat="false" ht="29.25" hidden="false" customHeight="true" outlineLevel="0" collapsed="false">
      <c r="A9" s="6" t="n">
        <v>3</v>
      </c>
      <c r="B9" s="6" t="s">
        <v>64</v>
      </c>
      <c r="C9" s="6" t="s">
        <v>65</v>
      </c>
      <c r="D9" s="6" t="s">
        <v>41</v>
      </c>
      <c r="E9" s="5" t="s">
        <v>66</v>
      </c>
      <c r="F9" s="6" t="s">
        <v>67</v>
      </c>
      <c r="G9" s="6" t="n">
        <f aca="false">条件!$B$5*条件!$B$6</f>
        <v>8</v>
      </c>
      <c r="H9" s="9" t="n">
        <f aca="false">ROUNDUP(G9*条件!$B$8/100,0)</f>
        <v>1</v>
      </c>
      <c r="I9" s="6" t="s">
        <v>44</v>
      </c>
      <c r="J9" s="6" t="s">
        <v>68</v>
      </c>
      <c r="K9" s="6" t="s">
        <v>46</v>
      </c>
      <c r="L9" s="6" t="s">
        <v>47</v>
      </c>
      <c r="M9" s="10" t="s">
        <v>69</v>
      </c>
    </row>
    <row r="10" customFormat="false" ht="15" hidden="false" customHeight="true" outlineLevel="0" collapsed="false">
      <c r="A10" s="6" t="n">
        <v>4</v>
      </c>
      <c r="B10" s="6" t="s">
        <v>64</v>
      </c>
      <c r="C10" s="6" t="s">
        <v>70</v>
      </c>
      <c r="D10" s="6" t="s">
        <v>41</v>
      </c>
      <c r="E10" s="5" t="s">
        <v>71</v>
      </c>
      <c r="F10" s="6" t="s">
        <v>72</v>
      </c>
      <c r="G10" s="6" t="n">
        <f aca="false">条件!$B$5*条件!$B$7</f>
        <v>28</v>
      </c>
      <c r="H10" s="9" t="n">
        <f aca="false">ROUNDUP(G10*条件!$B$8/100,0)</f>
        <v>1</v>
      </c>
      <c r="I10" s="6" t="s">
        <v>44</v>
      </c>
      <c r="J10" s="6" t="s">
        <v>73</v>
      </c>
      <c r="K10" s="6" t="s">
        <v>46</v>
      </c>
      <c r="L10" s="6" t="s">
        <v>47</v>
      </c>
      <c r="M10" s="10" t="s">
        <v>69</v>
      </c>
    </row>
    <row r="11" customFormat="false" ht="29.25" hidden="false" customHeight="true" outlineLevel="0" collapsed="false">
      <c r="A11" s="6" t="n">
        <v>5</v>
      </c>
      <c r="B11" s="6" t="s">
        <v>64</v>
      </c>
      <c r="C11" s="6" t="s">
        <v>74</v>
      </c>
      <c r="D11" s="6" t="s">
        <v>41</v>
      </c>
      <c r="E11" s="5" t="s">
        <v>75</v>
      </c>
      <c r="F11" s="6" t="s">
        <v>76</v>
      </c>
      <c r="G11" s="6" t="n">
        <f aca="false">条件!$B$5*条件!$B$6</f>
        <v>8</v>
      </c>
      <c r="H11" s="9" t="n">
        <f aca="false">ROUNDUP(G11*条件!$B$8/100,0)</f>
        <v>1</v>
      </c>
      <c r="I11" s="6" t="s">
        <v>44</v>
      </c>
      <c r="J11" s="6" t="s">
        <v>68</v>
      </c>
      <c r="K11" s="6" t="s">
        <v>46</v>
      </c>
      <c r="L11" s="6" t="s">
        <v>47</v>
      </c>
      <c r="M11" s="10" t="s">
        <v>69</v>
      </c>
    </row>
    <row r="12" customFormat="false" ht="29.25" hidden="false" customHeight="true" outlineLevel="0" collapsed="false">
      <c r="A12" s="6" t="n">
        <v>6</v>
      </c>
      <c r="B12" s="6" t="s">
        <v>64</v>
      </c>
      <c r="C12" s="6" t="s">
        <v>77</v>
      </c>
      <c r="D12" s="6" t="s">
        <v>41</v>
      </c>
      <c r="E12" s="5" t="s">
        <v>78</v>
      </c>
      <c r="F12" s="6" t="s">
        <v>79</v>
      </c>
      <c r="G12" s="6" t="n">
        <f aca="false">条件!$B$5*条件!$B$7</f>
        <v>28</v>
      </c>
      <c r="H12" s="9" t="n">
        <f aca="false">ROUNDUP(G12*条件!$B$8/100,0)</f>
        <v>1</v>
      </c>
      <c r="I12" s="6" t="s">
        <v>44</v>
      </c>
      <c r="J12" s="6" t="s">
        <v>80</v>
      </c>
      <c r="K12" s="6" t="s">
        <v>46</v>
      </c>
      <c r="L12" s="6" t="s">
        <v>47</v>
      </c>
      <c r="M12" s="10" t="s">
        <v>69</v>
      </c>
    </row>
    <row r="13" customFormat="false" ht="15" hidden="false" customHeight="true" outlineLevel="0" collapsed="false">
      <c r="A13" s="6" t="n">
        <v>7</v>
      </c>
      <c r="B13" s="6" t="s">
        <v>81</v>
      </c>
      <c r="C13" s="6" t="s">
        <v>82</v>
      </c>
      <c r="D13" s="5" t="s">
        <v>83</v>
      </c>
      <c r="E13" s="5" t="s">
        <v>84</v>
      </c>
      <c r="F13" s="5" t="s">
        <v>85</v>
      </c>
      <c r="G13" s="6" t="n">
        <v>0</v>
      </c>
      <c r="H13" s="9" t="n">
        <f aca="false">G13</f>
        <v>0</v>
      </c>
      <c r="I13" s="6" t="s">
        <v>86</v>
      </c>
      <c r="J13" s="6" t="s">
        <v>87</v>
      </c>
      <c r="K13" s="6" t="s">
        <v>46</v>
      </c>
      <c r="L13" s="6" t="s">
        <v>47</v>
      </c>
      <c r="M13" s="10" t="s">
        <v>88</v>
      </c>
    </row>
    <row r="14" customFormat="false" ht="29.25" hidden="false" customHeight="true" outlineLevel="0" collapsed="false">
      <c r="A14" s="6" t="n">
        <v>8</v>
      </c>
      <c r="B14" s="6" t="s">
        <v>81</v>
      </c>
      <c r="C14" s="6" t="s">
        <v>89</v>
      </c>
      <c r="D14" s="5" t="s">
        <v>83</v>
      </c>
      <c r="E14" s="5" t="s">
        <v>90</v>
      </c>
      <c r="F14" s="5" t="s">
        <v>91</v>
      </c>
      <c r="G14" s="6" t="n">
        <v>0</v>
      </c>
      <c r="H14" s="9" t="n">
        <f aca="false">G14</f>
        <v>0</v>
      </c>
      <c r="I14" s="6" t="s">
        <v>86</v>
      </c>
      <c r="J14" s="6" t="s">
        <v>92</v>
      </c>
      <c r="K14" s="6" t="s">
        <v>46</v>
      </c>
      <c r="L14" s="6" t="s">
        <v>47</v>
      </c>
      <c r="M14" s="10" t="s">
        <v>93</v>
      </c>
    </row>
    <row r="15" customFormat="false" ht="15" hidden="false" customHeight="true" outlineLevel="0" collapsed="false">
      <c r="A15" s="6" t="n">
        <v>9</v>
      </c>
      <c r="B15" s="6" t="s">
        <v>81</v>
      </c>
      <c r="C15" s="6" t="s">
        <v>94</v>
      </c>
      <c r="D15" s="5" t="s">
        <v>95</v>
      </c>
      <c r="E15" s="5" t="s">
        <v>96</v>
      </c>
      <c r="F15" s="5" t="s">
        <v>97</v>
      </c>
      <c r="G15" s="6" t="n">
        <v>1</v>
      </c>
      <c r="H15" s="9" t="n">
        <f aca="false">G15</f>
        <v>1</v>
      </c>
      <c r="I15" s="6" t="s">
        <v>86</v>
      </c>
      <c r="J15" s="6" t="s">
        <v>98</v>
      </c>
      <c r="K15" s="6" t="s">
        <v>46</v>
      </c>
      <c r="L15" s="6" t="s">
        <v>47</v>
      </c>
      <c r="M15" s="10"/>
    </row>
    <row r="16" customFormat="false" ht="15" hidden="false" customHeight="true" outlineLevel="0" collapsed="false">
      <c r="A16" s="6" t="n">
        <v>10</v>
      </c>
      <c r="B16" s="6" t="s">
        <v>99</v>
      </c>
      <c r="C16" s="6" t="s">
        <v>100</v>
      </c>
      <c r="D16" s="6" t="s">
        <v>101</v>
      </c>
      <c r="E16" s="6" t="s">
        <v>102</v>
      </c>
      <c r="F16" s="5" t="s">
        <v>103</v>
      </c>
      <c r="G16" s="11" t="n">
        <v>0</v>
      </c>
      <c r="H16" s="12" t="n">
        <f aca="false">ROUNDUP(G16*条件!$B$12,1)</f>
        <v>0</v>
      </c>
      <c r="I16" s="5" t="s">
        <v>104</v>
      </c>
      <c r="J16" s="6" t="s">
        <v>105</v>
      </c>
      <c r="K16" s="6" t="s">
        <v>46</v>
      </c>
      <c r="L16" s="6" t="s">
        <v>47</v>
      </c>
      <c r="M16" s="10" t="s">
        <v>106</v>
      </c>
    </row>
    <row r="17" customFormat="false" ht="29.25" hidden="false" customHeight="true" outlineLevel="0" collapsed="false">
      <c r="A17" s="13" t="s">
        <v>107</v>
      </c>
      <c r="B17" s="14" t="s">
        <v>99</v>
      </c>
      <c r="C17" s="14" t="s">
        <v>108</v>
      </c>
      <c r="D17" s="13" t="s">
        <v>109</v>
      </c>
      <c r="E17" s="13" t="s">
        <v>110</v>
      </c>
      <c r="F17" s="13" t="s">
        <v>111</v>
      </c>
      <c r="G17" s="13" t="n">
        <v>0</v>
      </c>
      <c r="H17" s="15" t="n">
        <f aca="false">G17</f>
        <v>0</v>
      </c>
      <c r="I17" s="14" t="s">
        <v>112</v>
      </c>
      <c r="J17" s="14" t="s">
        <v>113</v>
      </c>
      <c r="K17" s="14" t="s">
        <v>46</v>
      </c>
      <c r="L17" s="14" t="s">
        <v>47</v>
      </c>
      <c r="M17" s="10" t="s">
        <v>114</v>
      </c>
    </row>
    <row r="18" customFormat="false" ht="29.25" hidden="false" customHeight="true" outlineLevel="0" collapsed="false">
      <c r="A18" s="13" t="s">
        <v>115</v>
      </c>
      <c r="B18" s="14" t="s">
        <v>99</v>
      </c>
      <c r="C18" s="14" t="s">
        <v>116</v>
      </c>
      <c r="D18" s="14" t="s">
        <v>117</v>
      </c>
      <c r="E18" s="13" t="s">
        <v>118</v>
      </c>
      <c r="F18" s="13" t="s">
        <v>119</v>
      </c>
      <c r="G18" s="13" t="n">
        <v>2</v>
      </c>
      <c r="H18" s="15" t="n">
        <f aca="false">G18</f>
        <v>2</v>
      </c>
      <c r="I18" s="14" t="s">
        <v>120</v>
      </c>
      <c r="J18" s="14" t="s">
        <v>121</v>
      </c>
      <c r="K18" s="14" t="s">
        <v>46</v>
      </c>
      <c r="L18" s="14" t="s">
        <v>47</v>
      </c>
      <c r="M18" s="10" t="s">
        <v>122</v>
      </c>
    </row>
    <row r="19" customFormat="false" ht="29.25" hidden="false" customHeight="true" outlineLevel="0" collapsed="false">
      <c r="A19" s="6" t="n">
        <v>11</v>
      </c>
      <c r="B19" s="6" t="s">
        <v>99</v>
      </c>
      <c r="C19" s="5" t="s">
        <v>123</v>
      </c>
      <c r="D19" s="5" t="s">
        <v>124</v>
      </c>
      <c r="E19" s="5" t="s">
        <v>124</v>
      </c>
      <c r="F19" s="6" t="s">
        <v>125</v>
      </c>
      <c r="G19" s="11" t="n">
        <v>0</v>
      </c>
      <c r="H19" s="12" t="n">
        <f aca="false">ROUNDUP(G19*条件!$B$12,1)</f>
        <v>0</v>
      </c>
      <c r="I19" s="5" t="s">
        <v>104</v>
      </c>
      <c r="J19" s="6" t="s">
        <v>126</v>
      </c>
      <c r="K19" s="6" t="s">
        <v>46</v>
      </c>
      <c r="L19" s="6" t="s">
        <v>47</v>
      </c>
      <c r="M19" s="10" t="s">
        <v>127</v>
      </c>
    </row>
    <row r="20" customFormat="false" ht="15" hidden="false" customHeight="true" outlineLevel="0" collapsed="false">
      <c r="A20" s="6" t="n">
        <v>12</v>
      </c>
      <c r="B20" s="6" t="s">
        <v>99</v>
      </c>
      <c r="C20" s="5" t="s">
        <v>128</v>
      </c>
      <c r="D20" s="5" t="s">
        <v>124</v>
      </c>
      <c r="E20" s="5" t="s">
        <v>124</v>
      </c>
      <c r="F20" s="6" t="s">
        <v>125</v>
      </c>
      <c r="G20" s="11" t="n">
        <v>0</v>
      </c>
      <c r="H20" s="12" t="n">
        <f aca="false">ROUNDUP(G20*条件!$B$12,1)</f>
        <v>0</v>
      </c>
      <c r="I20" s="5" t="s">
        <v>104</v>
      </c>
      <c r="J20" s="6" t="s">
        <v>126</v>
      </c>
      <c r="K20" s="6" t="s">
        <v>46</v>
      </c>
      <c r="L20" s="6" t="s">
        <v>47</v>
      </c>
      <c r="M20" s="10" t="s">
        <v>127</v>
      </c>
    </row>
    <row r="21" customFormat="false" ht="29.25" hidden="false" customHeight="true" outlineLevel="0" collapsed="false">
      <c r="A21" s="6" t="n">
        <v>13</v>
      </c>
      <c r="B21" s="6" t="s">
        <v>99</v>
      </c>
      <c r="C21" s="5" t="s">
        <v>129</v>
      </c>
      <c r="D21" s="6" t="s">
        <v>130</v>
      </c>
      <c r="E21" s="5" t="s">
        <v>131</v>
      </c>
      <c r="F21" s="6" t="s">
        <v>132</v>
      </c>
      <c r="G21" s="11" t="n">
        <v>1</v>
      </c>
      <c r="H21" s="12" t="n">
        <f aca="false">G21</f>
        <v>1</v>
      </c>
      <c r="I21" s="6" t="s">
        <v>133</v>
      </c>
      <c r="J21" s="6" t="s">
        <v>134</v>
      </c>
      <c r="K21" s="6" t="s">
        <v>46</v>
      </c>
      <c r="L21" s="6" t="s">
        <v>47</v>
      </c>
      <c r="M21" s="10" t="s">
        <v>135</v>
      </c>
    </row>
    <row r="22" customFormat="false" ht="29.25" hidden="false" customHeight="true" outlineLevel="0" collapsed="false">
      <c r="A22" s="6" t="n">
        <v>14</v>
      </c>
      <c r="B22" s="6" t="s">
        <v>136</v>
      </c>
      <c r="C22" s="6" t="s">
        <v>137</v>
      </c>
      <c r="D22" s="6" t="s">
        <v>138</v>
      </c>
      <c r="E22" s="5" t="s">
        <v>139</v>
      </c>
      <c r="F22" s="6" t="s">
        <v>140</v>
      </c>
      <c r="G22" s="11" t="n">
        <v>1</v>
      </c>
      <c r="H22" s="12" t="n">
        <f aca="false">G22</f>
        <v>1</v>
      </c>
      <c r="I22" s="6" t="s">
        <v>141</v>
      </c>
      <c r="J22" s="6" t="s">
        <v>142</v>
      </c>
      <c r="K22" s="6" t="s">
        <v>46</v>
      </c>
      <c r="L22" s="6" t="s">
        <v>47</v>
      </c>
      <c r="M22" s="16" t="s">
        <v>143</v>
      </c>
    </row>
    <row r="23" customFormat="false" ht="29.25" hidden="false" customHeight="true" outlineLevel="0" collapsed="false">
      <c r="A23" s="6" t="n">
        <v>15</v>
      </c>
      <c r="B23" s="6" t="s">
        <v>136</v>
      </c>
      <c r="C23" s="6" t="s">
        <v>144</v>
      </c>
      <c r="D23" s="6" t="s">
        <v>145</v>
      </c>
      <c r="E23" s="6" t="s">
        <v>146</v>
      </c>
      <c r="F23" s="6" t="s">
        <v>147</v>
      </c>
      <c r="G23" s="6" t="n">
        <v>1</v>
      </c>
      <c r="H23" s="9" t="n">
        <f aca="false">G23</f>
        <v>1</v>
      </c>
      <c r="I23" s="6" t="s">
        <v>112</v>
      </c>
      <c r="J23" s="6" t="s">
        <v>148</v>
      </c>
      <c r="K23" s="6" t="s">
        <v>46</v>
      </c>
      <c r="L23" s="6" t="s">
        <v>47</v>
      </c>
      <c r="M23" s="10" t="s">
        <v>149</v>
      </c>
    </row>
    <row r="24" customFormat="false" ht="15" hidden="false" customHeight="true" outlineLevel="0" collapsed="false">
      <c r="A24" s="6" t="n">
        <v>16</v>
      </c>
      <c r="B24" s="6" t="s">
        <v>136</v>
      </c>
      <c r="C24" s="6" t="s">
        <v>150</v>
      </c>
      <c r="D24" s="6" t="s">
        <v>145</v>
      </c>
      <c r="E24" s="6" t="s">
        <v>151</v>
      </c>
      <c r="F24" s="6" t="s">
        <v>152</v>
      </c>
      <c r="G24" s="6" t="n">
        <v>1</v>
      </c>
      <c r="H24" s="9" t="n">
        <f aca="false">G24</f>
        <v>1</v>
      </c>
      <c r="I24" s="6" t="s">
        <v>153</v>
      </c>
      <c r="J24" s="6" t="s">
        <v>154</v>
      </c>
      <c r="K24" s="6" t="s">
        <v>46</v>
      </c>
      <c r="L24" s="6" t="s">
        <v>47</v>
      </c>
      <c r="M24" s="10" t="s">
        <v>155</v>
      </c>
    </row>
    <row r="25" customFormat="false" ht="15" hidden="false" customHeight="true" outlineLevel="0" collapsed="false">
      <c r="A25" s="6" t="n">
        <v>17</v>
      </c>
      <c r="B25" s="6" t="s">
        <v>136</v>
      </c>
      <c r="C25" s="6" t="s">
        <v>156</v>
      </c>
      <c r="D25" s="5" t="s">
        <v>157</v>
      </c>
      <c r="E25" s="6" t="s">
        <v>158</v>
      </c>
      <c r="F25" s="6" t="s">
        <v>159</v>
      </c>
      <c r="G25" s="6" t="n">
        <v>1</v>
      </c>
      <c r="H25" s="9" t="n">
        <f aca="false">G25</f>
        <v>1</v>
      </c>
      <c r="I25" s="6" t="s">
        <v>160</v>
      </c>
      <c r="J25" s="6" t="s">
        <v>161</v>
      </c>
      <c r="K25" s="6" t="s">
        <v>46</v>
      </c>
      <c r="L25" s="6" t="s">
        <v>47</v>
      </c>
      <c r="M25" s="10" t="s">
        <v>162</v>
      </c>
    </row>
    <row r="26" customFormat="false" ht="15" hidden="false" customHeight="true" outlineLevel="0" collapsed="false">
      <c r="A26" s="6" t="n">
        <v>18</v>
      </c>
      <c r="B26" s="6" t="s">
        <v>136</v>
      </c>
      <c r="C26" s="6" t="s">
        <v>163</v>
      </c>
      <c r="D26" s="6" t="s">
        <v>138</v>
      </c>
      <c r="E26" s="5" t="s">
        <v>164</v>
      </c>
      <c r="F26" s="6" t="s">
        <v>165</v>
      </c>
      <c r="G26" s="6" t="n">
        <v>1</v>
      </c>
      <c r="H26" s="9" t="n">
        <f aca="false">G26</f>
        <v>1</v>
      </c>
      <c r="I26" s="6" t="s">
        <v>141</v>
      </c>
      <c r="J26" s="6" t="s">
        <v>166</v>
      </c>
      <c r="K26" s="6" t="s">
        <v>46</v>
      </c>
      <c r="L26" s="6" t="s">
        <v>47</v>
      </c>
      <c r="M26" s="10" t="s">
        <v>167</v>
      </c>
    </row>
    <row r="27" customFormat="false" ht="15" hidden="false" customHeight="true" outlineLevel="0" collapsed="false">
      <c r="A27" s="6" t="n">
        <v>19</v>
      </c>
      <c r="B27" s="6" t="s">
        <v>99</v>
      </c>
      <c r="C27" s="6" t="s">
        <v>168</v>
      </c>
      <c r="D27" s="6" t="s">
        <v>124</v>
      </c>
      <c r="E27" s="5" t="s">
        <v>169</v>
      </c>
      <c r="F27" s="6" t="s">
        <v>170</v>
      </c>
      <c r="G27" s="6" t="n">
        <v>0.4</v>
      </c>
      <c r="H27" s="9" t="n">
        <f aca="false">ROUNDUP(G27*条件!$B$12,1)</f>
        <v>0.8</v>
      </c>
      <c r="I27" s="6" t="s">
        <v>104</v>
      </c>
      <c r="J27" s="6" t="s">
        <v>171</v>
      </c>
      <c r="K27" s="6" t="s">
        <v>46</v>
      </c>
      <c r="L27" s="6" t="s">
        <v>47</v>
      </c>
      <c r="M27" s="10" t="s">
        <v>172</v>
      </c>
    </row>
    <row r="28" customFormat="false" ht="15" hidden="false" customHeight="true" outlineLevel="0" collapsed="false">
      <c r="A28" s="6" t="n">
        <v>20</v>
      </c>
      <c r="B28" s="6" t="s">
        <v>2</v>
      </c>
      <c r="C28" s="6" t="s">
        <v>173</v>
      </c>
      <c r="D28" s="6" t="s">
        <v>124</v>
      </c>
      <c r="E28" s="5" t="s">
        <v>174</v>
      </c>
      <c r="F28" s="6" t="s">
        <v>175</v>
      </c>
      <c r="G28" s="6" t="n">
        <v>2</v>
      </c>
      <c r="H28" s="9" t="n">
        <f aca="false">G28</f>
        <v>2</v>
      </c>
      <c r="I28" s="6" t="s">
        <v>176</v>
      </c>
      <c r="J28" s="6" t="s">
        <v>177</v>
      </c>
      <c r="K28" s="6" t="s">
        <v>46</v>
      </c>
      <c r="L28" s="6" t="s">
        <v>47</v>
      </c>
      <c r="M28" s="10" t="s">
        <v>178</v>
      </c>
    </row>
    <row r="29" customFormat="false" ht="15" hidden="false" customHeight="true" outlineLevel="0" collapsed="false"/>
    <row r="30" customFormat="false" ht="15" hidden="false" customHeight="true" outlineLevel="0" collapsed="false">
      <c r="A30" s="17" t="s">
        <v>179</v>
      </c>
    </row>
    <row r="31" customFormat="false" ht="15" hidden="false" customHeight="true" outlineLevel="0" collapsed="false">
      <c r="A31" s="18" t="s">
        <v>180</v>
      </c>
      <c r="C31" s="18" t="str">
        <f aca="false">COUNTIF(K5:K28,"確認済")&amp;" / "&amp;COUNTA(K5:K28)</f>
        <v>0 / 24</v>
      </c>
    </row>
    <row r="32" customFormat="false" ht="15" hidden="false" customHeight="true" outlineLevel="0" collapsed="false">
      <c r="A32" s="18" t="s">
        <v>181</v>
      </c>
      <c r="C32" s="18" t="str">
        <f aca="false">COUNTIF(L5:L28,"受領済")&amp;" / "&amp;COUNTA(L5:L28)</f>
        <v>0 / 24</v>
      </c>
    </row>
    <row r="33" customFormat="false" ht="15" hidden="false" customHeight="true" outlineLevel="0" collapsed="false"/>
    <row r="34" customFormat="false" ht="15" hidden="false" customHeight="true" outlineLevel="0" collapsed="false">
      <c r="A34" s="17" t="s">
        <v>182</v>
      </c>
    </row>
    <row r="35" customFormat="false" ht="15" hidden="false" customHeight="true" outlineLevel="0" collapsed="false">
      <c r="A35" s="3" t="s">
        <v>183</v>
      </c>
    </row>
    <row r="36" customFormat="false" ht="15" hidden="false" customHeight="true" outlineLevel="0" collapsed="false">
      <c r="A36" s="3" t="s">
        <v>184</v>
      </c>
    </row>
    <row r="37" customFormat="false" ht="15" hidden="false" customHeight="true" outlineLevel="0" collapsed="false">
      <c r="A37" s="3" t="s">
        <v>185</v>
      </c>
    </row>
    <row r="38" customFormat="false" ht="15" hidden="false" customHeight="true" outlineLevel="0" collapsed="false">
      <c r="A38" s="3" t="s">
        <v>186</v>
      </c>
    </row>
  </sheetData>
  <dataValidations count="2">
    <dataValidation allowBlank="true" errorStyle="stop" operator="between" showDropDown="false" showErrorMessage="false" showInputMessage="false" sqref="K5:K28" type="list">
      <formula1>"未確認,確認済"</formula1>
      <formula2>0</formula2>
    </dataValidation>
    <dataValidation allowBlank="true" errorStyle="stop" operator="between" showDropDown="false" showErrorMessage="false" showInputMessage="false" sqref="L5:L28" type="list">
      <formula1>"未購入,発注済,受領済"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6"/>
    <col collapsed="false" customWidth="true" hidden="false" outlineLevel="0" max="4" min="4" style="1" width="14"/>
    <col collapsed="false" customWidth="true" hidden="false" outlineLevel="0" max="5" min="5" style="1" width="22"/>
    <col collapsed="false" customWidth="true" hidden="false" outlineLevel="0" max="6" min="6" style="1" width="8"/>
    <col collapsed="false" customWidth="true" hidden="false" outlineLevel="0" max="7" min="7" style="1" width="20"/>
    <col collapsed="false" customWidth="true" hidden="false" outlineLevel="0" max="8" min="8" style="1" width="14"/>
    <col collapsed="false" customWidth="true" hidden="false" outlineLevel="0" max="9" min="9" style="1" width="60"/>
  </cols>
  <sheetData>
    <row r="1" customFormat="false" ht="21" hidden="false" customHeight="true" outlineLevel="0" collapsed="false">
      <c r="A1" s="19" t="s">
        <v>187</v>
      </c>
    </row>
    <row r="2" customFormat="false" ht="15" hidden="false" customHeight="true" outlineLevel="0" collapsed="false">
      <c r="A2" s="3" t="s">
        <v>188</v>
      </c>
    </row>
    <row r="4" customFormat="false" ht="15" hidden="false" customHeight="true" outlineLevel="0" collapsed="false">
      <c r="A4" s="20" t="s">
        <v>2</v>
      </c>
      <c r="B4" s="20" t="s">
        <v>189</v>
      </c>
      <c r="C4" s="20" t="s">
        <v>190</v>
      </c>
      <c r="D4" s="20" t="s">
        <v>191</v>
      </c>
      <c r="E4" s="20" t="s">
        <v>99</v>
      </c>
      <c r="F4" s="21" t="s">
        <v>192</v>
      </c>
      <c r="G4" s="20" t="s">
        <v>64</v>
      </c>
      <c r="H4" s="20" t="s">
        <v>193</v>
      </c>
      <c r="I4" s="20" t="s">
        <v>194</v>
      </c>
    </row>
    <row r="5" customFormat="false" ht="15" hidden="false" customHeight="true" outlineLevel="0" collapsed="false">
      <c r="A5" s="22" t="s">
        <v>195</v>
      </c>
      <c r="B5" s="22" t="n">
        <v>1</v>
      </c>
      <c r="C5" s="23" t="s">
        <v>196</v>
      </c>
      <c r="D5" s="23" t="s">
        <v>197</v>
      </c>
      <c r="E5" s="23" t="s">
        <v>198</v>
      </c>
      <c r="F5" s="22" t="s">
        <v>199</v>
      </c>
      <c r="G5" s="22" t="s">
        <v>200</v>
      </c>
      <c r="H5" s="16"/>
      <c r="I5" s="23" t="s">
        <v>201</v>
      </c>
    </row>
    <row r="6" customFormat="false" ht="15" hidden="false" customHeight="true" outlineLevel="0" collapsed="false">
      <c r="A6" s="22" t="s">
        <v>195</v>
      </c>
      <c r="B6" s="23" t="n">
        <v>1</v>
      </c>
      <c r="C6" s="23" t="s">
        <v>202</v>
      </c>
      <c r="D6" s="23" t="s">
        <v>203</v>
      </c>
      <c r="E6" s="23" t="s">
        <v>198</v>
      </c>
      <c r="F6" s="22" t="s">
        <v>199</v>
      </c>
      <c r="G6" s="22" t="s">
        <v>200</v>
      </c>
      <c r="H6" s="16"/>
      <c r="I6" s="23" t="s">
        <v>204</v>
      </c>
    </row>
    <row r="7" customFormat="false" ht="15" hidden="false" customHeight="true" outlineLevel="0" collapsed="false">
      <c r="A7" s="22" t="s">
        <v>195</v>
      </c>
      <c r="B7" s="23" t="n">
        <v>2</v>
      </c>
      <c r="C7" s="23" t="s">
        <v>196</v>
      </c>
      <c r="D7" s="23" t="s">
        <v>205</v>
      </c>
      <c r="E7" s="23" t="s">
        <v>206</v>
      </c>
      <c r="F7" s="22" t="s">
        <v>199</v>
      </c>
      <c r="G7" s="22" t="s">
        <v>200</v>
      </c>
      <c r="H7" s="16"/>
      <c r="I7" s="23" t="s">
        <v>207</v>
      </c>
    </row>
    <row r="8" customFormat="false" ht="15" hidden="false" customHeight="true" outlineLevel="0" collapsed="false">
      <c r="A8" s="22" t="s">
        <v>195</v>
      </c>
      <c r="B8" s="23" t="n">
        <v>2</v>
      </c>
      <c r="C8" s="23" t="s">
        <v>202</v>
      </c>
      <c r="D8" s="23" t="s">
        <v>208</v>
      </c>
      <c r="E8" s="23" t="s">
        <v>206</v>
      </c>
      <c r="F8" s="22" t="s">
        <v>199</v>
      </c>
      <c r="G8" s="22" t="s">
        <v>200</v>
      </c>
      <c r="H8" s="16"/>
      <c r="I8" s="23" t="s">
        <v>209</v>
      </c>
    </row>
    <row r="9" customFormat="false" ht="15" hidden="false" customHeight="true" outlineLevel="0" collapsed="false">
      <c r="A9" s="24" t="s">
        <v>210</v>
      </c>
      <c r="B9" s="24" t="n">
        <v>1</v>
      </c>
      <c r="C9" s="25" t="s">
        <v>196</v>
      </c>
      <c r="D9" s="24" t="s">
        <v>211</v>
      </c>
      <c r="E9" s="24" t="s">
        <v>212</v>
      </c>
      <c r="F9" s="24" t="s">
        <v>213</v>
      </c>
      <c r="G9" s="24" t="s">
        <v>214</v>
      </c>
      <c r="H9" s="16"/>
      <c r="I9" s="25" t="s">
        <v>215</v>
      </c>
    </row>
    <row r="10" customFormat="false" ht="15" hidden="false" customHeight="true" outlineLevel="0" collapsed="false">
      <c r="A10" s="24" t="s">
        <v>210</v>
      </c>
      <c r="B10" s="25" t="n">
        <v>1</v>
      </c>
      <c r="C10" s="25" t="s">
        <v>202</v>
      </c>
      <c r="D10" s="24" t="s">
        <v>216</v>
      </c>
      <c r="E10" s="24" t="s">
        <v>212</v>
      </c>
      <c r="F10" s="24" t="s">
        <v>213</v>
      </c>
      <c r="G10" s="24" t="s">
        <v>214</v>
      </c>
      <c r="H10" s="16"/>
      <c r="I10" s="25" t="s">
        <v>217</v>
      </c>
    </row>
    <row r="11" customFormat="false" ht="15" hidden="false" customHeight="true" outlineLevel="0" collapsed="false">
      <c r="A11" s="24" t="s">
        <v>210</v>
      </c>
      <c r="B11" s="25" t="n">
        <v>2</v>
      </c>
      <c r="C11" s="25" t="s">
        <v>196</v>
      </c>
      <c r="D11" s="24" t="s">
        <v>218</v>
      </c>
      <c r="E11" s="24" t="s">
        <v>212</v>
      </c>
      <c r="F11" s="24" t="s">
        <v>213</v>
      </c>
      <c r="G11" s="24" t="s">
        <v>214</v>
      </c>
      <c r="H11" s="16"/>
      <c r="I11" s="25" t="s">
        <v>219</v>
      </c>
    </row>
    <row r="12" customFormat="false" ht="15" hidden="false" customHeight="true" outlineLevel="0" collapsed="false">
      <c r="A12" s="24" t="s">
        <v>210</v>
      </c>
      <c r="B12" s="25" t="n">
        <v>2</v>
      </c>
      <c r="C12" s="25" t="s">
        <v>202</v>
      </c>
      <c r="D12" s="24" t="s">
        <v>220</v>
      </c>
      <c r="E12" s="24" t="s">
        <v>212</v>
      </c>
      <c r="F12" s="24" t="s">
        <v>213</v>
      </c>
      <c r="G12" s="24" t="s">
        <v>214</v>
      </c>
      <c r="H12" s="16"/>
      <c r="I12" s="25" t="s">
        <v>221</v>
      </c>
    </row>
    <row r="13" customFormat="false" ht="15" hidden="false" customHeight="true" outlineLevel="0" collapsed="false">
      <c r="A13" s="26" t="s">
        <v>210</v>
      </c>
      <c r="B13" s="26" t="n">
        <v>3</v>
      </c>
      <c r="C13" s="27" t="s">
        <v>196</v>
      </c>
      <c r="D13" s="26" t="s">
        <v>222</v>
      </c>
      <c r="E13" s="26" t="s">
        <v>212</v>
      </c>
      <c r="F13" s="26" t="s">
        <v>213</v>
      </c>
      <c r="G13" s="26" t="s">
        <v>214</v>
      </c>
      <c r="H13" s="16"/>
      <c r="I13" s="27" t="s">
        <v>223</v>
      </c>
    </row>
    <row r="14" customFormat="false" ht="15" hidden="false" customHeight="true" outlineLevel="0" collapsed="false">
      <c r="A14" s="26" t="s">
        <v>210</v>
      </c>
      <c r="B14" s="27" t="n">
        <v>3</v>
      </c>
      <c r="C14" s="27" t="s">
        <v>202</v>
      </c>
      <c r="D14" s="26" t="s">
        <v>224</v>
      </c>
      <c r="E14" s="26" t="s">
        <v>212</v>
      </c>
      <c r="F14" s="26" t="s">
        <v>213</v>
      </c>
      <c r="G14" s="26" t="s">
        <v>214</v>
      </c>
      <c r="H14" s="16"/>
      <c r="I14" s="27" t="s">
        <v>225</v>
      </c>
    </row>
    <row r="15" customFormat="false" ht="15" hidden="false" customHeight="true" outlineLevel="0" collapsed="false">
      <c r="A15" s="28" t="s">
        <v>210</v>
      </c>
      <c r="B15" s="28" t="n">
        <v>4</v>
      </c>
      <c r="C15" s="29" t="s">
        <v>196</v>
      </c>
      <c r="D15" s="28" t="s">
        <v>226</v>
      </c>
      <c r="E15" s="28" t="s">
        <v>212</v>
      </c>
      <c r="F15" s="28" t="s">
        <v>213</v>
      </c>
      <c r="G15" s="28" t="s">
        <v>214</v>
      </c>
      <c r="H15" s="16"/>
      <c r="I15" s="29" t="s">
        <v>227</v>
      </c>
    </row>
    <row r="16" customFormat="false" ht="15" hidden="false" customHeight="true" outlineLevel="0" collapsed="false">
      <c r="A16" s="28" t="s">
        <v>210</v>
      </c>
      <c r="B16" s="29" t="n">
        <v>4</v>
      </c>
      <c r="C16" s="29" t="s">
        <v>202</v>
      </c>
      <c r="D16" s="28" t="s">
        <v>228</v>
      </c>
      <c r="E16" s="28" t="s">
        <v>212</v>
      </c>
      <c r="F16" s="28" t="s">
        <v>213</v>
      </c>
      <c r="G16" s="28" t="s">
        <v>214</v>
      </c>
      <c r="H16" s="16"/>
      <c r="I16" s="29" t="s">
        <v>229</v>
      </c>
    </row>
    <row r="17" customFormat="false" ht="29.25" hidden="false" customHeight="true" outlineLevel="0" collapsed="false">
      <c r="A17" s="24" t="s">
        <v>210</v>
      </c>
      <c r="B17" s="25" t="n">
        <v>5</v>
      </c>
      <c r="C17" s="25" t="s">
        <v>196</v>
      </c>
      <c r="D17" s="25" t="s">
        <v>230</v>
      </c>
      <c r="E17" s="24" t="s">
        <v>212</v>
      </c>
      <c r="F17" s="24" t="s">
        <v>213</v>
      </c>
      <c r="G17" s="24" t="s">
        <v>231</v>
      </c>
      <c r="H17" s="16"/>
      <c r="I17" s="25" t="s">
        <v>232</v>
      </c>
    </row>
    <row r="18" customFormat="false" ht="15" hidden="false" customHeight="true" outlineLevel="0" collapsed="false">
      <c r="A18" s="24" t="s">
        <v>210</v>
      </c>
      <c r="B18" s="25" t="n">
        <v>5</v>
      </c>
      <c r="C18" s="25" t="s">
        <v>202</v>
      </c>
      <c r="D18" s="25" t="s">
        <v>233</v>
      </c>
      <c r="E18" s="24" t="s">
        <v>212</v>
      </c>
      <c r="F18" s="24" t="s">
        <v>124</v>
      </c>
      <c r="G18" s="24" t="s">
        <v>214</v>
      </c>
      <c r="H18" s="16"/>
      <c r="I18" s="25" t="s">
        <v>234</v>
      </c>
    </row>
    <row r="19" customFormat="false" ht="15" hidden="false" customHeight="true" outlineLevel="0" collapsed="false">
      <c r="A19" s="30" t="s">
        <v>210</v>
      </c>
      <c r="B19" s="30" t="n">
        <v>6</v>
      </c>
      <c r="C19" s="31" t="s">
        <v>196</v>
      </c>
      <c r="D19" s="30" t="s">
        <v>235</v>
      </c>
      <c r="E19" s="30" t="s">
        <v>212</v>
      </c>
      <c r="F19" s="30" t="s">
        <v>213</v>
      </c>
      <c r="G19" s="30" t="s">
        <v>214</v>
      </c>
      <c r="H19" s="16"/>
      <c r="I19" s="31" t="s">
        <v>236</v>
      </c>
    </row>
    <row r="20" customFormat="false" ht="29.25" hidden="false" customHeight="true" outlineLevel="0" collapsed="false">
      <c r="A20" s="30" t="s">
        <v>210</v>
      </c>
      <c r="B20" s="31" t="n">
        <v>6</v>
      </c>
      <c r="C20" s="31" t="s">
        <v>202</v>
      </c>
      <c r="D20" s="30" t="s">
        <v>237</v>
      </c>
      <c r="E20" s="30" t="s">
        <v>212</v>
      </c>
      <c r="F20" s="30" t="s">
        <v>213</v>
      </c>
      <c r="G20" s="30" t="s">
        <v>214</v>
      </c>
      <c r="H20" s="16"/>
      <c r="I20" s="31" t="s">
        <v>238</v>
      </c>
    </row>
    <row r="21" customFormat="false" ht="15" hidden="false" customHeight="true" outlineLevel="0" collapsed="false">
      <c r="A21" s="30" t="s">
        <v>210</v>
      </c>
      <c r="B21" s="31" t="n">
        <v>7</v>
      </c>
      <c r="C21" s="31" t="s">
        <v>196</v>
      </c>
      <c r="D21" s="30" t="s">
        <v>239</v>
      </c>
      <c r="E21" s="30" t="s">
        <v>212</v>
      </c>
      <c r="F21" s="30" t="s">
        <v>213</v>
      </c>
      <c r="G21" s="30" t="s">
        <v>214</v>
      </c>
      <c r="H21" s="16"/>
      <c r="I21" s="31" t="s">
        <v>240</v>
      </c>
    </row>
    <row r="22" customFormat="false" ht="15" hidden="false" customHeight="true" outlineLevel="0" collapsed="false">
      <c r="A22" s="30" t="s">
        <v>210</v>
      </c>
      <c r="B22" s="31" t="n">
        <v>7</v>
      </c>
      <c r="C22" s="31" t="s">
        <v>202</v>
      </c>
      <c r="D22" s="30" t="s">
        <v>241</v>
      </c>
      <c r="E22" s="30" t="s">
        <v>212</v>
      </c>
      <c r="F22" s="30" t="s">
        <v>213</v>
      </c>
      <c r="G22" s="30" t="s">
        <v>214</v>
      </c>
      <c r="H22" s="16"/>
      <c r="I22" s="31" t="s">
        <v>242</v>
      </c>
    </row>
    <row r="24" customFormat="false" ht="15" hidden="false" customHeight="true" outlineLevel="0" collapsed="false">
      <c r="A24" s="3" t="s">
        <v>243</v>
      </c>
    </row>
    <row r="25" customFormat="false" ht="15" hidden="false" customHeight="true" outlineLevel="0" collapsed="false">
      <c r="A25" s="32" t="s">
        <v>244</v>
      </c>
    </row>
    <row r="26" customFormat="false" ht="15" hidden="false" customHeight="true" outlineLevel="0" collapsed="false">
      <c r="A26" s="3" t="s">
        <v>245</v>
      </c>
    </row>
    <row r="27" customFormat="false" ht="15" hidden="false" customHeight="true" outlineLevel="0" collapsed="false">
      <c r="A27" s="32" t="s">
        <v>246</v>
      </c>
    </row>
    <row r="28" customFormat="false" ht="15" hidden="false" customHeight="true" outlineLevel="0" collapsed="false">
      <c r="A28" s="3" t="s">
        <v>247</v>
      </c>
    </row>
    <row r="29" customFormat="false" ht="15" hidden="false" customHeight="true" outlineLevel="0" collapsed="false">
      <c r="A29" s="3"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3" min="3" style="1" width="8"/>
    <col collapsed="false" customWidth="true" hidden="false" outlineLevel="0" max="4" min="4" style="1" width="48"/>
  </cols>
  <sheetData>
    <row r="1" customFormat="false" ht="17.25" hidden="false" customHeight="true" outlineLevel="0" collapsed="false">
      <c r="A1" s="2" t="s">
        <v>249</v>
      </c>
    </row>
    <row r="2" customFormat="false" ht="15" hidden="false" customHeight="true" outlineLevel="0" collapsed="false">
      <c r="A2" s="3" t="s">
        <v>250</v>
      </c>
    </row>
    <row r="4" customFormat="false" ht="15" hidden="false" customHeight="true" outlineLevel="0" collapsed="false">
      <c r="A4" s="20" t="s">
        <v>251</v>
      </c>
      <c r="B4" s="20" t="s">
        <v>252</v>
      </c>
      <c r="C4" s="20" t="s">
        <v>34</v>
      </c>
      <c r="D4" s="20" t="s">
        <v>253</v>
      </c>
    </row>
    <row r="5" customFormat="false" ht="15" hidden="false" customHeight="true" outlineLevel="0" collapsed="false">
      <c r="A5" s="33" t="s">
        <v>254</v>
      </c>
      <c r="B5" s="34" t="n">
        <v>2</v>
      </c>
      <c r="C5" s="33" t="s">
        <v>176</v>
      </c>
      <c r="D5" s="35" t="s">
        <v>255</v>
      </c>
    </row>
    <row r="6" customFormat="false" ht="16.5" hidden="false" customHeight="true" outlineLevel="0" collapsed="false">
      <c r="A6" s="36" t="s">
        <v>256</v>
      </c>
      <c r="B6" s="34" t="n">
        <v>4</v>
      </c>
      <c r="C6" s="33" t="s">
        <v>86</v>
      </c>
      <c r="D6" s="35" t="s">
        <v>257</v>
      </c>
    </row>
    <row r="7" customFormat="false" ht="16.5" hidden="false" customHeight="true" outlineLevel="0" collapsed="false">
      <c r="A7" s="36" t="s">
        <v>258</v>
      </c>
      <c r="B7" s="34" t="n">
        <v>14</v>
      </c>
      <c r="C7" s="33" t="s">
        <v>86</v>
      </c>
      <c r="D7" s="37" t="s">
        <v>259</v>
      </c>
    </row>
    <row r="8" customFormat="false" ht="15" hidden="false" customHeight="true" outlineLevel="0" collapsed="false">
      <c r="A8" s="33" t="s">
        <v>260</v>
      </c>
      <c r="B8" s="34" t="n">
        <v>2.5</v>
      </c>
      <c r="C8" s="33" t="s">
        <v>261</v>
      </c>
      <c r="D8" s="35" t="s">
        <v>262</v>
      </c>
    </row>
    <row r="9" customFormat="false" ht="15" hidden="false" customHeight="true" outlineLevel="0" collapsed="false">
      <c r="A9" s="33" t="s">
        <v>263</v>
      </c>
      <c r="B9" s="34" t="n">
        <v>0.6</v>
      </c>
      <c r="C9" s="36" t="s">
        <v>104</v>
      </c>
      <c r="D9" s="35" t="s">
        <v>264</v>
      </c>
    </row>
    <row r="10" customFormat="false" ht="15" hidden="false" customHeight="true" outlineLevel="0" collapsed="false">
      <c r="A10" s="33" t="s">
        <v>265</v>
      </c>
      <c r="B10" s="34" t="n">
        <v>0.3</v>
      </c>
      <c r="C10" s="36" t="s">
        <v>104</v>
      </c>
      <c r="D10" s="35" t="s">
        <v>266</v>
      </c>
    </row>
    <row r="11" customFormat="false" ht="15" hidden="false" customHeight="true" outlineLevel="0" collapsed="false">
      <c r="A11" s="33" t="s">
        <v>267</v>
      </c>
      <c r="B11" s="34" t="n">
        <v>0.3</v>
      </c>
      <c r="C11" s="36" t="s">
        <v>104</v>
      </c>
      <c r="D11" s="35" t="s">
        <v>266</v>
      </c>
    </row>
    <row r="12" customFormat="false" ht="15" hidden="false" customHeight="true" outlineLevel="0" collapsed="false">
      <c r="A12" s="33" t="s">
        <v>268</v>
      </c>
      <c r="B12" s="34" t="n">
        <v>2</v>
      </c>
      <c r="C12" s="33" t="s">
        <v>261</v>
      </c>
      <c r="D12" s="35" t="s">
        <v>269</v>
      </c>
    </row>
    <row r="13" customFormat="false" ht="15" hidden="false" customHeight="true" outlineLevel="0" collapsed="false">
      <c r="A13" s="33" t="s">
        <v>270</v>
      </c>
      <c r="B13" s="34" t="n">
        <v>4</v>
      </c>
      <c r="C13" s="33" t="s">
        <v>86</v>
      </c>
      <c r="D13" s="35" t="s">
        <v>271</v>
      </c>
    </row>
    <row r="14" customFormat="false" ht="15" hidden="false" customHeight="true" outlineLevel="0" collapsed="false">
      <c r="A14" s="33" t="s">
        <v>272</v>
      </c>
      <c r="B14" s="34" t="n">
        <v>1.2</v>
      </c>
      <c r="C14" s="33" t="s">
        <v>261</v>
      </c>
      <c r="D14" s="35" t="s">
        <v>273</v>
      </c>
    </row>
    <row r="15" customFormat="false" ht="15" hidden="false" customHeight="true" outlineLevel="0" collapsed="false">
      <c r="A15" s="33" t="s">
        <v>274</v>
      </c>
      <c r="B15" s="34" t="n">
        <v>6</v>
      </c>
      <c r="C15" s="33" t="s">
        <v>275</v>
      </c>
      <c r="D15" s="35" t="s">
        <v>276</v>
      </c>
    </row>
    <row r="17" customFormat="false" ht="16.5" hidden="false" customHeight="true" outlineLevel="0" collapsed="false">
      <c r="A17" s="38" t="s">
        <v>277</v>
      </c>
      <c r="B17" s="33" t="n">
        <f aca="false">B9+B10+B11</f>
        <v>1.2</v>
      </c>
      <c r="C17" s="39" t="s">
        <v>104</v>
      </c>
      <c r="D17" s="3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2026-10-06T07:29:23Z</dcterms:created>
  <dc:creator>openpyxl</dc:creator>
  <dc:description/>
  <dc:language>en-US</dc:language>
  <cp:lastModifiedBy/>
  <dcterms:modified xsi:type="dcterms:W3CDTF">2026-10-21T03:26:39Z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